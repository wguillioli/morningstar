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saldanha/Desktop/ONE OFF USE/"/>
    </mc:Choice>
  </mc:AlternateContent>
  <xr:revisionPtr revIDLastSave="0" documentId="8_{947779A2-C01E-4040-BBA6-4455EC864CDB}" xr6:coauthVersionLast="47" xr6:coauthVersionMax="47" xr10:uidLastSave="{00000000-0000-0000-0000-000000000000}"/>
  <bookViews>
    <workbookView xWindow="5580" yWindow="2300" windowWidth="27640" windowHeight="16940" xr2:uid="{B3E66FF5-5BF3-EC47-893C-29671EE27E3D}"/>
  </bookViews>
  <sheets>
    <sheet name="Sheet1" sheetId="1" r:id="rId1"/>
  </sheets>
  <definedNames>
    <definedName name="ExternalData_2" localSheetId="0" hidden="1">Sheet1!$A$1:$CE$34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" i="1" l="1"/>
  <c r="AD27" i="1"/>
  <c r="AD26" i="1"/>
  <c r="V26" i="1"/>
  <c r="AC25" i="1"/>
  <c r="AD24" i="1"/>
  <c r="AG23" i="1"/>
  <c r="Z22" i="1"/>
  <c r="AC22" i="1"/>
  <c r="AB22" i="1"/>
  <c r="Y22" i="1"/>
  <c r="AQ21" i="1"/>
  <c r="AQ18" i="1"/>
  <c r="AG18" i="1"/>
  <c r="AQ16" i="1"/>
  <c r="AG16" i="1"/>
  <c r="AD15" i="1"/>
  <c r="AH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6A4ADD-414E-7747-B9F9-A2EF5B2A24B1}" keepAlive="1" name="Query - tbl_DNA" description="Connection to the 'tbl_DNA' query in the workbook." type="5" refreshedVersion="8" background="1" saveData="1">
    <dbPr connection="Provider=Microsoft.Mashup.OleDb.1;Data Source=$Workbook$;Location=tbl_DNA;Extended Properties=&quot;&quot;" command="SELECT * FROM [tbl_DNA]"/>
  </connection>
</connections>
</file>

<file path=xl/sharedStrings.xml><?xml version="1.0" encoding="utf-8"?>
<sst xmlns="http://schemas.openxmlformats.org/spreadsheetml/2006/main" count="286" uniqueCount="185">
  <si>
    <t>ISIN</t>
  </si>
  <si>
    <t>DATE</t>
  </si>
  <si>
    <t>Fund Name</t>
  </si>
  <si>
    <t>Distribution / Accumulation</t>
  </si>
  <si>
    <t>Asset Class</t>
  </si>
  <si>
    <t>Asset Sub Class</t>
  </si>
  <si>
    <t>Annual Management Fee</t>
  </si>
  <si>
    <t>Currency</t>
  </si>
  <si>
    <t>Effective Duration</t>
  </si>
  <si>
    <t>Spread Duration</t>
  </si>
  <si>
    <t>Avg Maturity</t>
  </si>
  <si>
    <t>YTM</t>
  </si>
  <si>
    <t>Div Yield</t>
  </si>
  <si>
    <t>Alpha</t>
  </si>
  <si>
    <t>Beta</t>
  </si>
  <si>
    <t>Correlation</t>
  </si>
  <si>
    <t>Standard Dev / Volatility</t>
  </si>
  <si>
    <t>Sharpe Ratio</t>
  </si>
  <si>
    <t>Up Ratio</t>
  </si>
  <si>
    <t>Down Ratio</t>
  </si>
  <si>
    <t>Avg Rating</t>
  </si>
  <si>
    <t>North America</t>
  </si>
  <si>
    <t>Europe</t>
  </si>
  <si>
    <t>Latin America</t>
  </si>
  <si>
    <t>Rest Emerging Mkt</t>
  </si>
  <si>
    <t>China</t>
  </si>
  <si>
    <t xml:space="preserve">Japan </t>
  </si>
  <si>
    <t>Pacific Ex Japan</t>
  </si>
  <si>
    <t>Asia Emerging</t>
  </si>
  <si>
    <t>UK</t>
  </si>
  <si>
    <t>Other</t>
  </si>
  <si>
    <t>Cash and equivalents</t>
  </si>
  <si>
    <t>Energy - Sensitive</t>
  </si>
  <si>
    <t>Materials - Cyclical</t>
  </si>
  <si>
    <t>Industrials - Sensitive</t>
  </si>
  <si>
    <t>Consumer Disc - Cyclical</t>
  </si>
  <si>
    <t>Consumer Staples - Defensive</t>
  </si>
  <si>
    <t>Health Care - Defensive</t>
  </si>
  <si>
    <t>Financials- Cyclical</t>
  </si>
  <si>
    <t>Information Technology - Sensitive</t>
  </si>
  <si>
    <t>Communication - Sensitive</t>
  </si>
  <si>
    <t>Utilities - Defensive</t>
  </si>
  <si>
    <t>Real Estate - Cyclical</t>
  </si>
  <si>
    <t>Cash</t>
  </si>
  <si>
    <t>Cyclicals</t>
  </si>
  <si>
    <t>Sensitive</t>
  </si>
  <si>
    <t>Defensive</t>
  </si>
  <si>
    <t>Large Value</t>
  </si>
  <si>
    <t>Large Blend</t>
  </si>
  <si>
    <t>Large Growth</t>
  </si>
  <si>
    <t>Medium Value</t>
  </si>
  <si>
    <t>Medium Blend</t>
  </si>
  <si>
    <t>Medium Growth</t>
  </si>
  <si>
    <t>Small Value</t>
  </si>
  <si>
    <t>Small Blend</t>
  </si>
  <si>
    <t>Small Growth</t>
  </si>
  <si>
    <t>Low Credit / Low Duration</t>
  </si>
  <si>
    <t>Medium Credit / Low Duration</t>
  </si>
  <si>
    <t>High Credit / Limited Duration</t>
  </si>
  <si>
    <t>Low Credit / Moderate Duration</t>
  </si>
  <si>
    <t>Medium Credit / Moderate Duration</t>
  </si>
  <si>
    <t>High Credit / Medium Duration</t>
  </si>
  <si>
    <t>Low Credit / High Duration</t>
  </si>
  <si>
    <t>Medium Credit / High Duration</t>
  </si>
  <si>
    <t>High Credit / High Duration</t>
  </si>
  <si>
    <t>Government</t>
  </si>
  <si>
    <t>MBS + Agencies</t>
  </si>
  <si>
    <t>Municipal</t>
  </si>
  <si>
    <t>HY</t>
  </si>
  <si>
    <t>Corporate</t>
  </si>
  <si>
    <t>Senior Financials</t>
  </si>
  <si>
    <t>Securitized</t>
  </si>
  <si>
    <t>Cash &amp; Cash Equivalents</t>
  </si>
  <si>
    <t>Other2</t>
  </si>
  <si>
    <t>Derivative</t>
  </si>
  <si>
    <t>AAA</t>
  </si>
  <si>
    <t>AA</t>
  </si>
  <si>
    <t>A</t>
  </si>
  <si>
    <t>BBB</t>
  </si>
  <si>
    <t>BB</t>
  </si>
  <si>
    <t>B</t>
  </si>
  <si>
    <t>Below B</t>
  </si>
  <si>
    <t>Not Rated</t>
  </si>
  <si>
    <t>LU1873130741</t>
  </si>
  <si>
    <t>JPMorgan Liquidity Funds - USD Liquidity LVNAV Fund A</t>
  </si>
  <si>
    <t>Accumulate</t>
  </si>
  <si>
    <t>Monetary Market</t>
  </si>
  <si>
    <t>Monetary</t>
  </si>
  <si>
    <t>USD</t>
  </si>
  <si>
    <t>LU2732958876</t>
  </si>
  <si>
    <t>M&amp;G (Lux) Investment Funds 1 - M&amp;G (Lux) Fixed Maturity Bond Fund 1 P EUR</t>
  </si>
  <si>
    <t>Fixed Income</t>
  </si>
  <si>
    <t>Fixed Term Bond</t>
  </si>
  <si>
    <t>EUR</t>
  </si>
  <si>
    <t>ES0125757023</t>
  </si>
  <si>
    <t>Db Corto Plazo A FI</t>
  </si>
  <si>
    <t>EAA Fund EUR Diversified Bond - Short Term</t>
  </si>
  <si>
    <t>A-</t>
  </si>
  <si>
    <t>FR001400BU49</t>
  </si>
  <si>
    <t>R-co Target 2028 IG</t>
  </si>
  <si>
    <t>EAA Fund Fixed Term Bond</t>
  </si>
  <si>
    <t>LU0113257694</t>
  </si>
  <si>
    <t>Schroder International Selection Fund EURO Corporate Bond</t>
  </si>
  <si>
    <t>EAA Fund EUR Corporate Bond</t>
  </si>
  <si>
    <t>BBB+</t>
  </si>
  <si>
    <t>IE0000UJ3480</t>
  </si>
  <si>
    <t>iShares iBonds Dec 2028 Term $ Corp UCITS ETF USD Acc</t>
  </si>
  <si>
    <t>IE00BFNWXY26</t>
  </si>
  <si>
    <t xml:space="preserve">Lord Abbett Short Duration Income Fund Class A </t>
  </si>
  <si>
    <t>EAA Fund USD Corporate Bond - Short Term</t>
  </si>
  <si>
    <t>IE00B7KFL990</t>
  </si>
  <si>
    <t>PIMCO GIS Income Fund E Class USD</t>
  </si>
  <si>
    <t>EAA Fund Global Flexible Bond - USD Hedged</t>
  </si>
  <si>
    <t>A+</t>
  </si>
  <si>
    <t>LU1481583711</t>
  </si>
  <si>
    <t>Flossbach von Storch - Bond Opportunities RT</t>
  </si>
  <si>
    <t>EAA Fund Global Flexible Bond - EUR Hedged</t>
  </si>
  <si>
    <t>IE00BDZRWZ54</t>
  </si>
  <si>
    <t xml:space="preserve">Neuberger Berman Short Duration Emerging Market Debt </t>
  </si>
  <si>
    <t>EAA Fund Global Emerging Markets Bond - EUR Hedged</t>
  </si>
  <si>
    <t>BBB-</t>
  </si>
  <si>
    <t>PP Dinámico</t>
  </si>
  <si>
    <t>PP</t>
  </si>
  <si>
    <t>Balanced</t>
  </si>
  <si>
    <t>Structured Note</t>
  </si>
  <si>
    <t>LU1670707527</t>
  </si>
  <si>
    <t xml:space="preserve">M&amp;G (Lux) European Strategic Value Fund EUR </t>
  </si>
  <si>
    <t>Equity</t>
  </si>
  <si>
    <t>Europe Large-Cap Value Equity</t>
  </si>
  <si>
    <t>IE0007987708</t>
  </si>
  <si>
    <t>Vanguard European Stock Index Fund EUR Acc</t>
  </si>
  <si>
    <t>EAA Fund Europe Large-Cap Blend Equity</t>
  </si>
  <si>
    <t>IE00B53SZB19</t>
  </si>
  <si>
    <t xml:space="preserve">iShares NASDAQ 100 UCITS ETF USD (Acc) </t>
  </si>
  <si>
    <t>US Large-Cap Growth Equity</t>
  </si>
  <si>
    <t>LU0203975437</t>
  </si>
  <si>
    <t>Robeco BP Global Premium Equities D</t>
  </si>
  <si>
    <t>EAA Fund Global Large-Cap Value Equity</t>
  </si>
  <si>
    <t>LU0133096635</t>
  </si>
  <si>
    <t>T. Rowe Price Funds SICAV - US Smaller Companies Equity Fund A</t>
  </si>
  <si>
    <t>EAA Fund US Small-Cap Equity</t>
  </si>
  <si>
    <t>IE0002639775</t>
  </si>
  <si>
    <t>Vanguard U.S. 500 Stock Index Fund</t>
  </si>
  <si>
    <t>EAA Fund US Large-Cap Blend Equity</t>
  </si>
  <si>
    <t>LU1769942233</t>
  </si>
  <si>
    <t>DWS Invest CROCI Japan LCH</t>
  </si>
  <si>
    <t>Large Value Japan</t>
  </si>
  <si>
    <t>LU0625737167</t>
  </si>
  <si>
    <t>Pictet-China Index P</t>
  </si>
  <si>
    <t>EAA Fund China Equity</t>
  </si>
  <si>
    <t>IE0031787223</t>
  </si>
  <si>
    <t>Vanguard Emerging Markets Stock Index Fund USD</t>
  </si>
  <si>
    <t>EAA Fund Global Emerging Markets Equity</t>
  </si>
  <si>
    <t>LU1295551573</t>
  </si>
  <si>
    <t>Capital Group New Perspective Fund (LUX) B</t>
  </si>
  <si>
    <t>Global Large-Cap Growth Equity</t>
  </si>
  <si>
    <t>LU1984712320</t>
  </si>
  <si>
    <t>Janus Henderson Horizon Global Smaller Companies Fund A2 EUR</t>
  </si>
  <si>
    <t>EAA Fund Global Small/Mid-Cap Equity</t>
  </si>
  <si>
    <t>LU1983261782</t>
  </si>
  <si>
    <t>Janus Henderson Horizon Global Smaller Companies Fund A2</t>
  </si>
  <si>
    <t>LU0226953718</t>
  </si>
  <si>
    <t>Robeco BP US Premium Equities ClassD</t>
  </si>
  <si>
    <t>EAA Fund US Large-Cap Value Equity</t>
  </si>
  <si>
    <t>LU1213836080</t>
  </si>
  <si>
    <t>Fidelity Funds - Global Technology Fund A-Acc-EUR</t>
  </si>
  <si>
    <t>EAA Fund Sector Equity Technology</t>
  </si>
  <si>
    <t>IE00B4ND3602</t>
  </si>
  <si>
    <t>iShares Physical Gold ETC</t>
  </si>
  <si>
    <t>Commodity</t>
  </si>
  <si>
    <t>EAA Fund Commodities - Precious Metals</t>
  </si>
  <si>
    <t>LU0095030564</t>
  </si>
  <si>
    <t xml:space="preserve">AB - American Income Portfolio A2 Acc </t>
  </si>
  <si>
    <t>EAA Fund USD Flexible Bond</t>
  </si>
  <si>
    <t>CASH EUR</t>
  </si>
  <si>
    <t xml:space="preserve">Cash </t>
  </si>
  <si>
    <t>CASH USD</t>
  </si>
  <si>
    <t>IE00BYZW4P13</t>
  </si>
  <si>
    <t>BNY Mellon Global Credit Fund USD A Acc</t>
  </si>
  <si>
    <t>Global Corporate Bond - USD Hedged</t>
  </si>
  <si>
    <t>LU2601038735</t>
  </si>
  <si>
    <t>Invesco UK Equity Fund A (EUR)-Acc Shares</t>
  </si>
  <si>
    <t>EAA Fund UK Large-Cap Equity</t>
  </si>
  <si>
    <t>IE00B4NCWG09</t>
  </si>
  <si>
    <t>iShares Physical Silver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</si>
</sst>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d/mm/yyyy"/>
  </numFmts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64" fontId="2" fillId="0" borderId="0" xfId="0" applyNumberFormat="1" applyFont="1" applyAlignment="1">
      <alignment horizontal="center"/>
    </xf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dd\-mmm\-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6D93F8F-E4E2-9E48-8F94-5235B6CB9AE2}" autoFormatId="16" applyNumberFormats="0" applyBorderFormats="0" applyFontFormats="0" applyPatternFormats="0" applyAlignmentFormats="0" applyWidthHeightFormats="0">
  <queryTableRefresh nextId="84">
    <queryTableFields count="83">
      <queryTableField id="1" name="ISIN" tableColumnId="1"/>
      <queryTableField id="83" dataBound="0" tableColumnId="83"/>
      <queryTableField id="2" name="Fund Name" tableColumnId="2"/>
      <queryTableField id="3" name="Distribution / Accumulation" tableColumnId="3"/>
      <queryTableField id="4" name="Asset Class" tableColumnId="4"/>
      <queryTableField id="5" name="Asset Sub Class" tableColumnId="5"/>
      <queryTableField id="6" name="Annual Management Fee" tableColumnId="6"/>
      <queryTableField id="7" name="Currency" tableColumnId="7"/>
      <queryTableField id="8" name="Effective Duration" tableColumnId="8"/>
      <queryTableField id="9" name="Spread Duration" tableColumnId="9"/>
      <queryTableField id="10" name="Avg Maturity" tableColumnId="10"/>
      <queryTableField id="11" name="YTM" tableColumnId="11"/>
      <queryTableField id="12" name="Div Yield" tableColumnId="12"/>
      <queryTableField id="13" name="Alpha" tableColumnId="13"/>
      <queryTableField id="14" name="Beta" tableColumnId="14"/>
      <queryTableField id="15" name="Correlation" tableColumnId="15"/>
      <queryTableField id="16" name="Standard Dev / Volatility" tableColumnId="16"/>
      <queryTableField id="17" name="Sharpe Ratio" tableColumnId="17"/>
      <queryTableField id="18" name="Up Ratio" tableColumnId="18"/>
      <queryTableField id="19" name="Down Ratio" tableColumnId="19"/>
      <queryTableField id="20" name="Avg Rating" tableColumnId="20"/>
      <queryTableField id="21" name="North America" tableColumnId="21"/>
      <queryTableField id="22" name="Europe" tableColumnId="22"/>
      <queryTableField id="23" name="Latin America" tableColumnId="23"/>
      <queryTableField id="24" name="Emerging Mkt" tableColumnId="24"/>
      <queryTableField id="25" name="China" tableColumnId="25"/>
      <queryTableField id="26" name="Japan " tableColumnId="26"/>
      <queryTableField id="27" name="Pacific Ex Japan" tableColumnId="27"/>
      <queryTableField id="28" name="Asia" tableColumnId="28"/>
      <queryTableField id="29" name="UK" tableColumnId="29"/>
      <queryTableField id="30" name="Other" tableColumnId="30"/>
      <queryTableField id="31" name="Cash and equivalents" tableColumnId="31"/>
      <queryTableField id="32" name="Energy - Sensitive" tableColumnId="32"/>
      <queryTableField id="33" name="Materials - Cyclical" tableColumnId="33"/>
      <queryTableField id="34" name="Industrials - Sensitive" tableColumnId="34"/>
      <queryTableField id="35" name="Consumer Disc - Cyclical" tableColumnId="35"/>
      <queryTableField id="36" name="Consumer Staples - Defensive" tableColumnId="36"/>
      <queryTableField id="37" name="Health Care - Defensive" tableColumnId="37"/>
      <queryTableField id="38" name="Financials- Cyclical" tableColumnId="38"/>
      <queryTableField id="39" name="Information Technology - Sensitive" tableColumnId="39"/>
      <queryTableField id="40" name="Communication - Sensitive" tableColumnId="40"/>
      <queryTableField id="41" name="Utilities - Defensive" tableColumnId="41"/>
      <queryTableField id="42" name="Real Estate - Cyclical" tableColumnId="42"/>
      <queryTableField id="43" name="Cash" tableColumnId="43"/>
      <queryTableField id="44" name="Cyclicals" tableColumnId="44"/>
      <queryTableField id="45" name="Sensitive" tableColumnId="45"/>
      <queryTableField id="46" name="Defensive" tableColumnId="46"/>
      <queryTableField id="47" name="Large Value" tableColumnId="47"/>
      <queryTableField id="48" name="Large Blend" tableColumnId="48"/>
      <queryTableField id="49" name="Large Growth" tableColumnId="49"/>
      <queryTableField id="50" name="Medium Value" tableColumnId="50"/>
      <queryTableField id="51" name="Medium Blend" tableColumnId="51"/>
      <queryTableField id="52" name="Medium Growth" tableColumnId="52"/>
      <queryTableField id="53" name="Small Value" tableColumnId="53"/>
      <queryTableField id="54" name="Small Blend" tableColumnId="54"/>
      <queryTableField id="55" name="Small Growth" tableColumnId="55"/>
      <queryTableField id="56" name="Low Credit / Low Duration" tableColumnId="56"/>
      <queryTableField id="57" name="Medium Credit / Low Duration" tableColumnId="57"/>
      <queryTableField id="58" name="High Credit / Limited Duration" tableColumnId="58"/>
      <queryTableField id="59" name="Low Credit / Moderate Duration" tableColumnId="59"/>
      <queryTableField id="60" name="Medium Credit / Moderate Duration" tableColumnId="60"/>
      <queryTableField id="61" name="High Credit / Medium Duration" tableColumnId="61"/>
      <queryTableField id="62" name="Low Credit / High Duration" tableColumnId="62"/>
      <queryTableField id="63" name="Medium Credit / High Duration" tableColumnId="63"/>
      <queryTableField id="64" name="High Credit / High Duration" tableColumnId="64"/>
      <queryTableField id="65" name="Government" tableColumnId="65"/>
      <queryTableField id="66" name="MBS + Agencies" tableColumnId="66"/>
      <queryTableField id="67" name="Municipal" tableColumnId="67"/>
      <queryTableField id="68" name="HY" tableColumnId="68"/>
      <queryTableField id="69" name="Corporate" tableColumnId="69"/>
      <queryTableField id="70" name="Senior Financials" tableColumnId="70"/>
      <queryTableField id="71" name="Securitized" tableColumnId="71"/>
      <queryTableField id="72" name="Cash &amp; Cash Equivalents" tableColumnId="72"/>
      <queryTableField id="73" name="Other2" tableColumnId="73"/>
      <queryTableField id="74" name="Derivative" tableColumnId="74"/>
      <queryTableField id="75" name="AAA" tableColumnId="75"/>
      <queryTableField id="76" name="AA" tableColumnId="76"/>
      <queryTableField id="77" name="A" tableColumnId="77"/>
      <queryTableField id="78" name="BBB" tableColumnId="78"/>
      <queryTableField id="79" name="BB" tableColumnId="79"/>
      <queryTableField id="80" name="B" tableColumnId="80"/>
      <queryTableField id="81" name="Below B" tableColumnId="81"/>
      <queryTableField id="82" name="Not Rated" tableColumnId="8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7F14F-E946-C144-A3C5-72EB6F62436A}" name="tbl_DNA_1" displayName="tbl_DNA_1" ref="A1:CE34" tableType="queryTable" totalsRowShown="0">
  <autoFilter ref="A1:CE34" xr:uid="{0787F14F-E946-C144-A3C5-72EB6F62436A}"/>
  <tableColumns count="83">
    <tableColumn id="1" xr3:uid="{DC9A31EE-CB78-D042-B4F9-A2AFC4D4A1A8}" uniqueName="1" name="ISIN" queryTableFieldId="1"/>
    <tableColumn id="83" xr3:uid="{550DEF41-3379-CB47-9492-E074E59F228A}" uniqueName="83" name="DATE" queryTableFieldId="83" dataDxfId="4"/>
    <tableColumn id="2" xr3:uid="{092DC411-4894-A249-B9A6-F9169737401E}" uniqueName="2" name="Fund Name" queryTableFieldId="2" dataDxfId="3"/>
    <tableColumn id="3" xr3:uid="{A22786C3-A4AE-1C4D-BE80-B22E9FC7868C}" uniqueName="3" name="Distribution / Accumulation" queryTableFieldId="3" dataDxfId="2"/>
    <tableColumn id="4" xr3:uid="{EA6802EE-68E1-034C-8BDE-58F1A4A0B8AE}" uniqueName="4" name="Asset Class" queryTableFieldId="4" dataDxfId="1"/>
    <tableColumn id="5" xr3:uid="{ED614B6C-8B16-5344-A4C3-2897872A44D8}" uniqueName="5" name="Asset Sub Class" queryTableFieldId="5"/>
    <tableColumn id="6" xr3:uid="{CED57533-70DA-654C-8EFB-7B556C1B7F48}" uniqueName="6" name="Annual Management Fee" queryTableFieldId="6"/>
    <tableColumn id="7" xr3:uid="{B2461F3E-FCC0-2A49-97DB-E8CEC5E31727}" uniqueName="7" name="Currency" queryTableFieldId="7" dataDxfId="0"/>
    <tableColumn id="8" xr3:uid="{A7D23B81-2458-7B49-90A4-D6AD7FC80E4E}" uniqueName="8" name="Effective Duration" queryTableFieldId="8"/>
    <tableColumn id="9" xr3:uid="{57815F6E-6EB1-8A40-BCCE-0CD168F79A5D}" uniqueName="9" name="Spread Duration" queryTableFieldId="9"/>
    <tableColumn id="10" xr3:uid="{28838405-9429-0F46-AB34-FDFD7745A57B}" uniqueName="10" name="Avg Maturity" queryTableFieldId="10"/>
    <tableColumn id="11" xr3:uid="{66FE97DB-2CC9-8E43-8739-3AB5F290B97C}" uniqueName="11" name="YTM" queryTableFieldId="11"/>
    <tableColumn id="12" xr3:uid="{0D8CACB3-0D4C-104D-8555-245A501B59DC}" uniqueName="12" name="Div Yield" queryTableFieldId="12"/>
    <tableColumn id="13" xr3:uid="{0339BCCC-B065-BD4B-80F5-D04B1AAE0411}" uniqueName="13" name="Alpha" queryTableFieldId="13"/>
    <tableColumn id="14" xr3:uid="{9423FDD8-4AA5-C14B-A3CB-CFA33F5E12C4}" uniqueName="14" name="Beta" queryTableFieldId="14"/>
    <tableColumn id="15" xr3:uid="{6CA9F97B-306B-4A43-BB38-C421364CF1CF}" uniqueName="15" name="Correlation" queryTableFieldId="15"/>
    <tableColumn id="16" xr3:uid="{F33BB157-A265-4342-8691-A7571F181076}" uniqueName="16" name="Standard Dev / Volatility" queryTableFieldId="16"/>
    <tableColumn id="17" xr3:uid="{A0C5A3FD-BCAC-3D4C-9A6C-0271B8B937DF}" uniqueName="17" name="Sharpe Ratio" queryTableFieldId="17"/>
    <tableColumn id="18" xr3:uid="{FD3D2851-6B64-6D43-97EA-BF858EABEA30}" uniqueName="18" name="Up Ratio" queryTableFieldId="18"/>
    <tableColumn id="19" xr3:uid="{24C1DB44-AC96-B948-9FA8-51BE6A87EB7A}" uniqueName="19" name="Down Ratio" queryTableFieldId="19"/>
    <tableColumn id="20" xr3:uid="{EB298D4A-22DA-0F43-9C4D-9D7945581B62}" uniqueName="20" name="Avg Rating" queryTableFieldId="20"/>
    <tableColumn id="21" xr3:uid="{FA6AFDDB-EA79-454F-8A91-D7FDDD281286}" uniqueName="21" name="North America" queryTableFieldId="21"/>
    <tableColumn id="22" xr3:uid="{237E6FF9-7E9F-F747-AEB2-A3A506D4DAF4}" uniqueName="22" name="Europe" queryTableFieldId="22"/>
    <tableColumn id="23" xr3:uid="{1AA2EDE9-6088-874D-AD1E-905E67A96024}" uniqueName="23" name="Latin America" queryTableFieldId="23"/>
    <tableColumn id="24" xr3:uid="{36AEFE31-BBC9-4B4F-91F6-49F00794CB6E}" uniqueName="24" name="Rest Emerging Mkt" queryTableFieldId="24"/>
    <tableColumn id="25" xr3:uid="{581EF91A-05BE-C349-B8B1-25FDC9616FAE}" uniqueName="25" name="China" queryTableFieldId="25"/>
    <tableColumn id="26" xr3:uid="{AB6D9F5E-1498-5442-A7A9-858EBD412B8D}" uniqueName="26" name="Japan " queryTableFieldId="26"/>
    <tableColumn id="27" xr3:uid="{52F2FAE1-5884-8E49-98A4-E690D7A63414}" uniqueName="27" name="Pacific Ex Japan" queryTableFieldId="27"/>
    <tableColumn id="28" xr3:uid="{34F25F71-472E-6341-ABE0-FA7E8A695A19}" uniqueName="28" name="Asia Emerging" queryTableFieldId="28"/>
    <tableColumn id="29" xr3:uid="{73D68E9D-E637-5F4D-B3B9-19517E583369}" uniqueName="29" name="UK" queryTableFieldId="29"/>
    <tableColumn id="30" xr3:uid="{8A9CBC44-F770-8C43-8D3A-E826EF7B82E2}" uniqueName="30" name="Other" queryTableFieldId="30"/>
    <tableColumn id="31" xr3:uid="{03A867BD-83F8-AC4C-9D7D-2FC5194F80FE}" uniqueName="31" name="Cash and equivalents" queryTableFieldId="31"/>
    <tableColumn id="32" xr3:uid="{9CEDE6CD-F8AA-E049-8D49-16FE278EA25D}" uniqueName="32" name="Energy - Sensitive" queryTableFieldId="32"/>
    <tableColumn id="33" xr3:uid="{0361CB12-F89A-354A-A46F-D373BFB0506F}" uniqueName="33" name="Materials - Cyclical" queryTableFieldId="33"/>
    <tableColumn id="34" xr3:uid="{59987B22-8525-0E45-8855-BADCA7A86180}" uniqueName="34" name="Industrials - Sensitive" queryTableFieldId="34"/>
    <tableColumn id="35" xr3:uid="{5138D545-CB86-6240-9504-2BCD126207A3}" uniqueName="35" name="Consumer Disc - Cyclical" queryTableFieldId="35"/>
    <tableColumn id="36" xr3:uid="{BE67C341-F17F-E74B-AAA0-97B71DF176CE}" uniqueName="36" name="Consumer Staples - Defensive" queryTableFieldId="36"/>
    <tableColumn id="37" xr3:uid="{921A203D-0EB7-6E4F-AF43-F459EC9C0098}" uniqueName="37" name="Health Care - Defensive" queryTableFieldId="37"/>
    <tableColumn id="38" xr3:uid="{632D95A2-D5CB-274F-A51C-F2D3C8D6CC92}" uniqueName="38" name="Financials- Cyclical" queryTableFieldId="38"/>
    <tableColumn id="39" xr3:uid="{8A34D8FB-3B6B-9B49-8581-A490945D6C37}" uniqueName="39" name="Information Technology - Sensitive" queryTableFieldId="39"/>
    <tableColumn id="40" xr3:uid="{FEF140FD-9FD2-014F-AF4E-23E2AFC6A0F9}" uniqueName="40" name="Communication - Sensitive" queryTableFieldId="40"/>
    <tableColumn id="41" xr3:uid="{3FA87C9B-79D4-7D46-9F71-7C87BB29E452}" uniqueName="41" name="Utilities - Defensive" queryTableFieldId="41"/>
    <tableColumn id="42" xr3:uid="{138EAD73-B4DA-C948-8325-1E47F2EEBCB4}" uniqueName="42" name="Real Estate - Cyclical" queryTableFieldId="42"/>
    <tableColumn id="43" xr3:uid="{41BC9A13-05F2-BC48-A9D9-D39B0C9CD1AC}" uniqueName="43" name="Cash" queryTableFieldId="43"/>
    <tableColumn id="44" xr3:uid="{554899D5-3DF6-AD4D-8886-F801BB7ACB29}" uniqueName="44" name="Cyclicals" queryTableFieldId="44"/>
    <tableColumn id="45" xr3:uid="{6C561D27-2A86-E248-B814-EA3F19D9EC49}" uniqueName="45" name="Sensitive" queryTableFieldId="45"/>
    <tableColumn id="46" xr3:uid="{281F838F-4D21-C443-B04E-7287CD970464}" uniqueName="46" name="Defensive" queryTableFieldId="46"/>
    <tableColumn id="47" xr3:uid="{19E2E774-BB5F-7241-95C8-C31A2AFC7E83}" uniqueName="47" name="Large Value" queryTableFieldId="47"/>
    <tableColumn id="48" xr3:uid="{801B5300-970B-8E42-8964-C297708FF85B}" uniqueName="48" name="Large Blend" queryTableFieldId="48"/>
    <tableColumn id="49" xr3:uid="{D1C18733-5D21-294E-B1AF-7450DBAB0EA0}" uniqueName="49" name="Large Growth" queryTableFieldId="49"/>
    <tableColumn id="50" xr3:uid="{B4E2F78F-5CF6-8040-83DD-CA39323BC6F2}" uniqueName="50" name="Medium Value" queryTableFieldId="50"/>
    <tableColumn id="51" xr3:uid="{D27D7EE6-57CC-3A4A-B431-430DEA00A20C}" uniqueName="51" name="Medium Blend" queryTableFieldId="51"/>
    <tableColumn id="52" xr3:uid="{67FC7F98-A44B-8342-AE6E-7B675E352223}" uniqueName="52" name="Medium Growth" queryTableFieldId="52"/>
    <tableColumn id="53" xr3:uid="{43ACBCDD-B6CA-0341-B744-09B4DB6CCC66}" uniqueName="53" name="Small Value" queryTableFieldId="53"/>
    <tableColumn id="54" xr3:uid="{0F250B8F-846B-1043-AD17-8EBC712FC61E}" uniqueName="54" name="Small Blend" queryTableFieldId="54"/>
    <tableColumn id="55" xr3:uid="{26AEBCBB-16D1-0A48-A301-0F27D922BBDA}" uniqueName="55" name="Small Growth" queryTableFieldId="55"/>
    <tableColumn id="56" xr3:uid="{7E2C8B10-93FC-0F45-A251-39572FEAAD9D}" uniqueName="56" name="Low Credit / Low Duration" queryTableFieldId="56"/>
    <tableColumn id="57" xr3:uid="{129FA392-B152-F54B-B97B-CC92410507D1}" uniqueName="57" name="Medium Credit / Low Duration" queryTableFieldId="57"/>
    <tableColumn id="58" xr3:uid="{31F66DA5-6E8F-EF41-9F0D-52EC07AE1E99}" uniqueName="58" name="High Credit / Limited Duration" queryTableFieldId="58"/>
    <tableColumn id="59" xr3:uid="{2806FDD3-B8C5-B045-A6EF-1449BFC3C862}" uniqueName="59" name="Low Credit / Moderate Duration" queryTableFieldId="59"/>
    <tableColumn id="60" xr3:uid="{09F4E992-EB13-BD42-9FF1-9F26213DA6B1}" uniqueName="60" name="Medium Credit / Moderate Duration" queryTableFieldId="60"/>
    <tableColumn id="61" xr3:uid="{BEEA4A97-69E2-0C4A-8CD2-EE896ABACD01}" uniqueName="61" name="High Credit / Medium Duration" queryTableFieldId="61"/>
    <tableColumn id="62" xr3:uid="{BDD89E30-E62D-DA4E-BFBE-70420BF3B59E}" uniqueName="62" name="Low Credit / High Duration" queryTableFieldId="62"/>
    <tableColumn id="63" xr3:uid="{35C8B0FE-F0DB-D445-A1CD-33A9AD77D4E9}" uniqueName="63" name="Medium Credit / High Duration" queryTableFieldId="63"/>
    <tableColumn id="64" xr3:uid="{A2B3D261-9854-CD43-8A40-4600C40350CC}" uniqueName="64" name="High Credit / High Duration" queryTableFieldId="64"/>
    <tableColumn id="65" xr3:uid="{2392BB38-D4EE-D040-8C78-F0A3070D9A6D}" uniqueName="65" name="Government" queryTableFieldId="65"/>
    <tableColumn id="66" xr3:uid="{3C469484-074D-E744-9553-0A6FEE5C928F}" uniqueName="66" name="MBS + Agencies" queryTableFieldId="66"/>
    <tableColumn id="67" xr3:uid="{C6EE2F6B-387E-E44D-AA47-317A5807ED94}" uniqueName="67" name="Municipal" queryTableFieldId="67"/>
    <tableColumn id="68" xr3:uid="{D1642348-DF76-6A40-B47C-2E83AF78ECE6}" uniqueName="68" name="HY" queryTableFieldId="68"/>
    <tableColumn id="69" xr3:uid="{34AC7DD7-AA62-6949-B79F-094969939D43}" uniqueName="69" name="Corporate" queryTableFieldId="69"/>
    <tableColumn id="70" xr3:uid="{B59AC30A-C6CF-7247-B0E1-13A1AACD6C88}" uniqueName="70" name="Senior Financials" queryTableFieldId="70"/>
    <tableColumn id="71" xr3:uid="{4BCD27EF-2F4A-8A4B-AC3F-BA7AC164CCBC}" uniqueName="71" name="Securitized" queryTableFieldId="71"/>
    <tableColumn id="72" xr3:uid="{1FE4D5B2-F554-8A41-9044-3FCA55055CBC}" uniqueName="72" name="Cash &amp; Cash Equivalents" queryTableFieldId="72"/>
    <tableColumn id="73" xr3:uid="{04D53D8B-EC15-1B4E-A02A-35A7536C9DC1}" uniqueName="73" name="Other2" queryTableFieldId="73"/>
    <tableColumn id="74" xr3:uid="{F5BC6FC5-8F5A-DA43-9BC6-EBA52B07E9F8}" uniqueName="74" name="Derivative" queryTableFieldId="74"/>
    <tableColumn id="75" xr3:uid="{D4A48BA0-54AF-AF43-9536-2BE2004B9D96}" uniqueName="75" name="AAA" queryTableFieldId="75"/>
    <tableColumn id="76" xr3:uid="{32D79470-9798-854A-9D87-F4B1C4437454}" uniqueName="76" name="AA" queryTableFieldId="76"/>
    <tableColumn id="77" xr3:uid="{E910016C-0C2A-8443-A975-4CC4C230E823}" uniqueName="77" name="A" queryTableFieldId="77"/>
    <tableColumn id="78" xr3:uid="{78F4BFF0-BA7E-AF4E-BC76-A58F8A7CD33D}" uniqueName="78" name="BBB" queryTableFieldId="78"/>
    <tableColumn id="79" xr3:uid="{63E47412-7716-3447-B30E-E1FA94B4C3EA}" uniqueName="79" name="BB" queryTableFieldId="79"/>
    <tableColumn id="80" xr3:uid="{034FDEE6-1494-6148-95C3-7D88EC429B16}" uniqueName="80" name="B" queryTableFieldId="80"/>
    <tableColumn id="81" xr3:uid="{746F7337-051A-D245-B4D3-54E4EE216A6C}" uniqueName="81" name="Below B" queryTableFieldId="81"/>
    <tableColumn id="82" xr3:uid="{1176BE49-57B2-1B4A-9DFE-9DC19D1411B6}" uniqueName="82" name="Not Rated" queryTableFieldId="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CCDE-EC3B-164C-A316-5B76435937F2}">
  <dimension ref="A1:CE55"/>
  <sheetViews>
    <sheetView tabSelected="1" topLeftCell="BA1" workbookViewId="0">
      <selection activeCell="C9" sqref="C9"/>
    </sheetView>
  </sheetViews>
  <sheetFormatPr baseColWidth="10" defaultRowHeight="16" x14ac:dyDescent="0.2"/>
  <cols>
    <col min="1" max="1" width="14" bestFit="1" customWidth="1"/>
    <col min="2" max="2" width="14" customWidth="1"/>
    <col min="3" max="3" width="63.6640625" bestFit="1" customWidth="1"/>
    <col min="4" max="4" width="26.6640625" bestFit="1" customWidth="1"/>
    <col min="5" max="5" width="14.83203125" bestFit="1" customWidth="1"/>
    <col min="6" max="6" width="45.33203125" bestFit="1" customWidth="1"/>
    <col min="7" max="7" width="24.1640625" bestFit="1" customWidth="1"/>
    <col min="8" max="8" width="11.1640625" bestFit="1" customWidth="1"/>
    <col min="9" max="9" width="18.5" bestFit="1" customWidth="1"/>
    <col min="10" max="10" width="16.83203125" bestFit="1" customWidth="1"/>
    <col min="11" max="11" width="13.83203125" bestFit="1" customWidth="1"/>
    <col min="12" max="12" width="7.1640625" bestFit="1" customWidth="1"/>
    <col min="13" max="13" width="10.6640625" bestFit="1" customWidth="1"/>
    <col min="14" max="14" width="8.33203125" bestFit="1" customWidth="1"/>
    <col min="15" max="15" width="7.5" bestFit="1" customWidth="1"/>
    <col min="16" max="16" width="13" bestFit="1" customWidth="1"/>
    <col min="17" max="17" width="23.33203125" bestFit="1" customWidth="1"/>
    <col min="18" max="18" width="14" bestFit="1" customWidth="1"/>
    <col min="19" max="19" width="10.5" bestFit="1" customWidth="1"/>
    <col min="20" max="20" width="13" bestFit="1" customWidth="1"/>
    <col min="21" max="21" width="12.33203125" bestFit="1" customWidth="1"/>
    <col min="22" max="22" width="16" bestFit="1" customWidth="1"/>
    <col min="23" max="23" width="9.6640625" bestFit="1" customWidth="1"/>
    <col min="24" max="24" width="15.5" bestFit="1" customWidth="1"/>
    <col min="25" max="25" width="15.33203125" bestFit="1" customWidth="1"/>
    <col min="26" max="26" width="8.83203125" bestFit="1" customWidth="1"/>
    <col min="27" max="27" width="9" bestFit="1" customWidth="1"/>
    <col min="28" max="28" width="17" bestFit="1" customWidth="1"/>
    <col min="29" max="31" width="8.6640625" bestFit="1" customWidth="1"/>
    <col min="32" max="32" width="21.33203125" bestFit="1" customWidth="1"/>
    <col min="33" max="33" width="18" bestFit="1" customWidth="1"/>
    <col min="34" max="34" width="19.6640625" bestFit="1" customWidth="1"/>
    <col min="35" max="35" width="21.5" bestFit="1" customWidth="1"/>
    <col min="36" max="36" width="24.83203125" bestFit="1" customWidth="1"/>
    <col min="37" max="37" width="28.83203125" bestFit="1" customWidth="1"/>
    <col min="38" max="38" width="23.33203125" bestFit="1" customWidth="1"/>
    <col min="39" max="39" width="20" bestFit="1" customWidth="1"/>
    <col min="40" max="40" width="32.1640625" bestFit="1" customWidth="1"/>
    <col min="41" max="41" width="26.1640625" bestFit="1" customWidth="1"/>
    <col min="42" max="42" width="20" bestFit="1" customWidth="1"/>
    <col min="43" max="43" width="21.1640625" bestFit="1" customWidth="1"/>
    <col min="44" max="44" width="8" bestFit="1" customWidth="1"/>
    <col min="45" max="45" width="11.33203125" bestFit="1" customWidth="1"/>
    <col min="46" max="46" width="11.1640625" bestFit="1" customWidth="1"/>
    <col min="47" max="47" width="12" bestFit="1" customWidth="1"/>
    <col min="48" max="49" width="13.33203125" bestFit="1" customWidth="1"/>
    <col min="50" max="50" width="14.6640625" bestFit="1" customWidth="1"/>
    <col min="51" max="52" width="15.33203125" bestFit="1" customWidth="1"/>
    <col min="53" max="53" width="16.6640625" bestFit="1" customWidth="1"/>
    <col min="54" max="55" width="13.33203125" bestFit="1" customWidth="1"/>
    <col min="56" max="56" width="14.6640625" bestFit="1" customWidth="1"/>
    <col min="57" max="57" width="25" bestFit="1" customWidth="1"/>
    <col min="58" max="58" width="28.33203125" bestFit="1" customWidth="1"/>
    <col min="59" max="59" width="28.5" bestFit="1" customWidth="1"/>
    <col min="60" max="60" width="29.6640625" bestFit="1" customWidth="1"/>
    <col min="61" max="61" width="33" bestFit="1" customWidth="1"/>
    <col min="62" max="62" width="28.83203125" bestFit="1" customWidth="1"/>
    <col min="63" max="63" width="25.5" bestFit="1" customWidth="1"/>
    <col min="64" max="64" width="28.83203125" bestFit="1" customWidth="1"/>
    <col min="65" max="65" width="26" bestFit="1" customWidth="1"/>
    <col min="66" max="66" width="13.83203125" bestFit="1" customWidth="1"/>
    <col min="67" max="67" width="16.6640625" bestFit="1" customWidth="1"/>
    <col min="68" max="68" width="11.6640625" bestFit="1" customWidth="1"/>
    <col min="69" max="69" width="6.1640625" bestFit="1" customWidth="1"/>
    <col min="70" max="70" width="12" bestFit="1" customWidth="1"/>
    <col min="71" max="71" width="17.6640625" bestFit="1" customWidth="1"/>
    <col min="72" max="72" width="12.83203125" bestFit="1" customWidth="1"/>
    <col min="73" max="73" width="24.33203125" bestFit="1" customWidth="1"/>
    <col min="74" max="74" width="9.33203125" bestFit="1" customWidth="1"/>
    <col min="75" max="75" width="12" bestFit="1" customWidth="1"/>
    <col min="76" max="81" width="7.1640625" bestFit="1" customWidth="1"/>
    <col min="82" max="82" width="10.1640625" bestFit="1" customWidth="1"/>
    <col min="83" max="83" width="11.83203125" bestFit="1" customWidth="1"/>
  </cols>
  <sheetData>
    <row r="1" spans="1:83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">
      <c r="A2" t="s">
        <v>83</v>
      </c>
      <c r="B2" s="2">
        <v>46022</v>
      </c>
      <c r="C2" t="s">
        <v>84</v>
      </c>
      <c r="D2" t="s">
        <v>85</v>
      </c>
      <c r="E2" t="s">
        <v>86</v>
      </c>
      <c r="F2" t="s">
        <v>87</v>
      </c>
      <c r="G2">
        <v>4.4999999999999997E-3</v>
      </c>
      <c r="H2" t="s">
        <v>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0.24299999999999999</v>
      </c>
      <c r="W2">
        <v>0.434</v>
      </c>
      <c r="X2">
        <v>0</v>
      </c>
      <c r="Y2">
        <v>3.1E-2</v>
      </c>
      <c r="Z2">
        <v>0</v>
      </c>
      <c r="AA2">
        <v>0.111</v>
      </c>
      <c r="AB2">
        <v>9.4E-2</v>
      </c>
      <c r="AC2">
        <v>0.03</v>
      </c>
      <c r="AD2">
        <v>5.8999999999999997E-2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 s="3">
        <v>0</v>
      </c>
      <c r="BF2" s="3">
        <v>1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>
        <v>5.7000000000000002E-2</v>
      </c>
      <c r="BO2">
        <v>0</v>
      </c>
      <c r="BP2">
        <v>0</v>
      </c>
      <c r="BQ2">
        <v>0</v>
      </c>
      <c r="BR2">
        <v>0.48599999999999999</v>
      </c>
      <c r="BS2">
        <v>0</v>
      </c>
      <c r="BT2">
        <v>2.7E-2</v>
      </c>
      <c r="BU2">
        <v>0.42900000000000005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x14ac:dyDescent="0.2">
      <c r="A3" t="s">
        <v>89</v>
      </c>
      <c r="B3" s="2">
        <v>46022</v>
      </c>
      <c r="C3" t="s">
        <v>90</v>
      </c>
      <c r="D3" t="s">
        <v>85</v>
      </c>
      <c r="E3" t="s">
        <v>91</v>
      </c>
      <c r="F3" t="s">
        <v>92</v>
      </c>
      <c r="G3">
        <v>8.0000000000000002E-3</v>
      </c>
      <c r="H3" t="s">
        <v>93</v>
      </c>
      <c r="I3">
        <v>0</v>
      </c>
      <c r="J3">
        <v>0</v>
      </c>
      <c r="K3">
        <v>0</v>
      </c>
      <c r="L3">
        <v>0</v>
      </c>
      <c r="M3">
        <v>2.6499999999999999E-2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s="3">
        <v>0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>
        <v>0.1028</v>
      </c>
      <c r="BO3">
        <v>0</v>
      </c>
      <c r="BP3">
        <v>0</v>
      </c>
      <c r="BQ3">
        <v>0</v>
      </c>
      <c r="BR3">
        <v>0.33460000000000001</v>
      </c>
      <c r="BS3">
        <v>0</v>
      </c>
      <c r="BT3">
        <v>0</v>
      </c>
      <c r="BU3">
        <v>0.56259999999999999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 spans="1:83" x14ac:dyDescent="0.2">
      <c r="A4" t="s">
        <v>94</v>
      </c>
      <c r="B4" s="2">
        <v>46022</v>
      </c>
      <c r="C4" t="s">
        <v>95</v>
      </c>
      <c r="D4" t="s">
        <v>85</v>
      </c>
      <c r="E4" t="s">
        <v>91</v>
      </c>
      <c r="F4" t="s">
        <v>96</v>
      </c>
      <c r="G4">
        <v>5.5999999999999999E-3</v>
      </c>
      <c r="H4" t="s">
        <v>93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97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s="3">
        <v>0</v>
      </c>
      <c r="BF4" s="3">
        <v>0</v>
      </c>
      <c r="BG4" s="3">
        <v>1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>
        <v>0.68189999999999995</v>
      </c>
      <c r="BO4">
        <v>0</v>
      </c>
      <c r="BP4">
        <v>0</v>
      </c>
      <c r="BQ4">
        <v>0</v>
      </c>
      <c r="BR4">
        <v>0.19969999999999999</v>
      </c>
      <c r="BS4">
        <v>0</v>
      </c>
      <c r="BT4">
        <v>0</v>
      </c>
      <c r="BU4">
        <v>0.1183</v>
      </c>
      <c r="BV4">
        <v>0</v>
      </c>
      <c r="BW4">
        <v>0</v>
      </c>
      <c r="BX4">
        <v>0</v>
      </c>
      <c r="BY4">
        <v>0.46400000000000002</v>
      </c>
      <c r="BZ4">
        <v>0.3604</v>
      </c>
      <c r="CA4">
        <v>0.1676</v>
      </c>
      <c r="CB4">
        <v>0</v>
      </c>
      <c r="CC4">
        <v>0</v>
      </c>
      <c r="CD4">
        <v>0</v>
      </c>
      <c r="CE4">
        <v>4.0000000000000001E-3</v>
      </c>
    </row>
    <row r="5" spans="1:83" x14ac:dyDescent="0.2">
      <c r="A5" t="s">
        <v>98</v>
      </c>
      <c r="B5" s="2">
        <v>46022</v>
      </c>
      <c r="C5" t="s">
        <v>99</v>
      </c>
      <c r="D5" t="s">
        <v>85</v>
      </c>
      <c r="E5" t="s">
        <v>91</v>
      </c>
      <c r="F5" t="s">
        <v>100</v>
      </c>
      <c r="G5">
        <v>8.9999999999999993E-3</v>
      </c>
      <c r="H5" t="s">
        <v>93</v>
      </c>
      <c r="I5">
        <v>2.66</v>
      </c>
      <c r="J5">
        <v>0</v>
      </c>
      <c r="K5">
        <v>2.62</v>
      </c>
      <c r="L5">
        <v>2.9100000000000001E-2</v>
      </c>
      <c r="M5">
        <v>2.9499999999999998E-2</v>
      </c>
      <c r="N5">
        <v>0</v>
      </c>
      <c r="O5">
        <v>0</v>
      </c>
      <c r="P5">
        <v>0</v>
      </c>
      <c r="Q5">
        <v>3.08</v>
      </c>
      <c r="R5">
        <v>0.93</v>
      </c>
      <c r="S5">
        <v>0</v>
      </c>
      <c r="T5">
        <v>0</v>
      </c>
      <c r="U5" t="s">
        <v>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s="3">
        <v>0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4.0000000000000002E-4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x14ac:dyDescent="0.2">
      <c r="A6" t="s">
        <v>101</v>
      </c>
      <c r="B6" s="2">
        <v>46022</v>
      </c>
      <c r="C6" t="s">
        <v>102</v>
      </c>
      <c r="D6" t="s">
        <v>85</v>
      </c>
      <c r="E6" t="s">
        <v>91</v>
      </c>
      <c r="F6" t="s">
        <v>103</v>
      </c>
      <c r="G6">
        <v>1.0699999999999999E-2</v>
      </c>
      <c r="H6" t="s">
        <v>93</v>
      </c>
      <c r="I6">
        <v>4.54</v>
      </c>
      <c r="J6">
        <v>0</v>
      </c>
      <c r="K6">
        <v>9.35</v>
      </c>
      <c r="L6">
        <v>3.8199999999999998E-2</v>
      </c>
      <c r="M6">
        <v>3.7400000000000003E-2</v>
      </c>
      <c r="N6">
        <v>1.36</v>
      </c>
      <c r="O6">
        <v>0.99</v>
      </c>
      <c r="P6">
        <v>89</v>
      </c>
      <c r="Q6">
        <v>3.61</v>
      </c>
      <c r="R6">
        <v>0.91</v>
      </c>
      <c r="S6">
        <v>1.0900000000000001</v>
      </c>
      <c r="T6">
        <v>0.72</v>
      </c>
      <c r="U6" t="s">
        <v>104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s="3">
        <v>0</v>
      </c>
      <c r="BF6" s="3">
        <v>0</v>
      </c>
      <c r="BG6" s="3">
        <v>0</v>
      </c>
      <c r="BH6" s="3">
        <v>0</v>
      </c>
      <c r="BI6" s="3">
        <v>1</v>
      </c>
      <c r="BJ6" s="3">
        <v>0</v>
      </c>
      <c r="BK6" s="3">
        <v>0</v>
      </c>
      <c r="BL6" s="3">
        <v>0</v>
      </c>
      <c r="BM6" s="3">
        <v>0</v>
      </c>
      <c r="BN6">
        <v>0.11899999999999999</v>
      </c>
      <c r="BO6">
        <v>0</v>
      </c>
      <c r="BP6">
        <v>0</v>
      </c>
      <c r="BQ6">
        <v>0</v>
      </c>
      <c r="BR6">
        <v>0.68669999999999998</v>
      </c>
      <c r="BS6">
        <v>0</v>
      </c>
      <c r="BT6">
        <v>6.7000000000000002E-3</v>
      </c>
      <c r="BU6">
        <v>8.5599999999999996E-2</v>
      </c>
      <c r="BV6">
        <v>0</v>
      </c>
      <c r="BW6">
        <v>0.10199999999999999</v>
      </c>
      <c r="BX6">
        <v>5.3999999999999999E-2</v>
      </c>
      <c r="BY6">
        <v>0.111</v>
      </c>
      <c r="BZ6">
        <v>0.26050000000000001</v>
      </c>
      <c r="CA6">
        <v>0.47460000000000002</v>
      </c>
      <c r="CB6">
        <v>8.0799999999999997E-2</v>
      </c>
      <c r="CC6">
        <v>1.3599999999999999E-2</v>
      </c>
      <c r="CD6">
        <v>8.9999999999999998E-4</v>
      </c>
      <c r="CE6">
        <v>4.5999999999999999E-3</v>
      </c>
    </row>
    <row r="7" spans="1:83" x14ac:dyDescent="0.2">
      <c r="A7" t="s">
        <v>105</v>
      </c>
      <c r="B7" s="2">
        <v>46022</v>
      </c>
      <c r="C7" t="s">
        <v>106</v>
      </c>
      <c r="D7" t="s">
        <v>85</v>
      </c>
      <c r="E7" t="s">
        <v>91</v>
      </c>
      <c r="F7" t="s">
        <v>92</v>
      </c>
      <c r="G7">
        <v>1.1999999999999999E-3</v>
      </c>
      <c r="H7" t="s">
        <v>88</v>
      </c>
      <c r="I7">
        <v>2.27</v>
      </c>
      <c r="J7">
        <v>0</v>
      </c>
      <c r="K7">
        <v>2.31</v>
      </c>
      <c r="L7">
        <v>4.0300000000000002E-2</v>
      </c>
      <c r="M7">
        <v>0.04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 s="3">
        <v>0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1.9E-3</v>
      </c>
      <c r="BY7">
        <v>8.4500000000000006E-2</v>
      </c>
      <c r="BZ7">
        <v>0.4118</v>
      </c>
      <c r="CA7">
        <v>0.50180000000000002</v>
      </c>
      <c r="CB7">
        <v>0</v>
      </c>
      <c r="CC7">
        <v>0</v>
      </c>
      <c r="CD7">
        <v>0</v>
      </c>
      <c r="CE7">
        <v>0</v>
      </c>
    </row>
    <row r="8" spans="1:83" x14ac:dyDescent="0.2">
      <c r="A8" t="s">
        <v>107</v>
      </c>
      <c r="B8" s="2">
        <v>46022</v>
      </c>
      <c r="C8" t="s">
        <v>108</v>
      </c>
      <c r="D8" t="s">
        <v>85</v>
      </c>
      <c r="E8" t="s">
        <v>91</v>
      </c>
      <c r="F8" t="s">
        <v>109</v>
      </c>
      <c r="G8">
        <v>5.7999999999999996E-3</v>
      </c>
      <c r="H8" t="s">
        <v>88</v>
      </c>
      <c r="I8">
        <v>1.96</v>
      </c>
      <c r="J8">
        <v>0</v>
      </c>
      <c r="K8">
        <v>2.1</v>
      </c>
      <c r="L8">
        <v>4.7600000000000003E-2</v>
      </c>
      <c r="M8">
        <v>4.1700000000000001E-2</v>
      </c>
      <c r="N8">
        <v>-0.62</v>
      </c>
      <c r="O8">
        <v>1.29</v>
      </c>
      <c r="P8">
        <v>82.34</v>
      </c>
      <c r="Q8">
        <v>2.81</v>
      </c>
      <c r="R8">
        <v>0</v>
      </c>
      <c r="S8">
        <v>0.99</v>
      </c>
      <c r="T8">
        <v>1.35</v>
      </c>
      <c r="U8" t="s">
        <v>97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s="3">
        <v>0</v>
      </c>
      <c r="BF8" s="3">
        <v>0</v>
      </c>
      <c r="BG8" s="3">
        <v>0</v>
      </c>
      <c r="BH8" s="3">
        <v>0</v>
      </c>
      <c r="BI8" s="3">
        <v>1</v>
      </c>
      <c r="BJ8" s="3">
        <v>0</v>
      </c>
      <c r="BK8" s="3">
        <v>0</v>
      </c>
      <c r="BL8" s="3">
        <v>0</v>
      </c>
      <c r="BM8" s="3">
        <v>0</v>
      </c>
      <c r="BN8">
        <v>0.32450000000000001</v>
      </c>
      <c r="BO8">
        <v>0</v>
      </c>
      <c r="BP8">
        <v>0</v>
      </c>
      <c r="BQ8">
        <v>0.14899999999999999</v>
      </c>
      <c r="BR8">
        <v>0.26219999999999999</v>
      </c>
      <c r="BS8">
        <v>0</v>
      </c>
      <c r="BT8">
        <v>0.21529999999999999</v>
      </c>
      <c r="BU8">
        <v>2.0799999999999999E-2</v>
      </c>
      <c r="BV8">
        <v>0</v>
      </c>
      <c r="BW8">
        <v>2.7300000000000001E-2</v>
      </c>
      <c r="BX8">
        <v>0.2135</v>
      </c>
      <c r="BY8">
        <v>0.12870000000000001</v>
      </c>
      <c r="BZ8">
        <v>8.43E-2</v>
      </c>
      <c r="CA8">
        <v>0.3821</v>
      </c>
      <c r="CB8">
        <v>0.1341</v>
      </c>
      <c r="CC8">
        <v>4.0899999999999999E-2</v>
      </c>
      <c r="CD8">
        <v>7.7999999999999996E-3</v>
      </c>
      <c r="CE8">
        <v>8.6999999999999994E-3</v>
      </c>
    </row>
    <row r="9" spans="1:83" x14ac:dyDescent="0.2">
      <c r="A9" t="s">
        <v>110</v>
      </c>
      <c r="B9" s="2">
        <v>46022</v>
      </c>
      <c r="C9" t="s">
        <v>111</v>
      </c>
      <c r="D9" t="s">
        <v>85</v>
      </c>
      <c r="E9" t="s">
        <v>91</v>
      </c>
      <c r="F9" t="s">
        <v>112</v>
      </c>
      <c r="G9">
        <v>1.4500000000000001E-2</v>
      </c>
      <c r="H9" t="s">
        <v>88</v>
      </c>
      <c r="I9">
        <v>5.21</v>
      </c>
      <c r="J9">
        <v>0</v>
      </c>
      <c r="K9">
        <v>7.34</v>
      </c>
      <c r="L9">
        <v>6.25E-2</v>
      </c>
      <c r="M9">
        <v>6.1699999999999998E-2</v>
      </c>
      <c r="N9">
        <v>1.91</v>
      </c>
      <c r="O9">
        <v>0.84</v>
      </c>
      <c r="P9">
        <v>44.37</v>
      </c>
      <c r="Q9">
        <v>5.22</v>
      </c>
      <c r="R9">
        <v>0.36</v>
      </c>
      <c r="S9">
        <v>1.1399999999999999</v>
      </c>
      <c r="T9">
        <v>0.98</v>
      </c>
      <c r="U9" t="s">
        <v>113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3">
        <v>0</v>
      </c>
      <c r="BF9" s="3">
        <v>0</v>
      </c>
      <c r="BG9" s="3">
        <v>0</v>
      </c>
      <c r="BH9" s="3">
        <v>0</v>
      </c>
      <c r="BI9" s="3">
        <v>1</v>
      </c>
      <c r="BJ9" s="3">
        <v>0</v>
      </c>
      <c r="BK9" s="3">
        <v>0</v>
      </c>
      <c r="BL9" s="3">
        <v>0</v>
      </c>
      <c r="BM9" s="3">
        <v>0</v>
      </c>
      <c r="BN9">
        <v>0.1915</v>
      </c>
      <c r="BO9">
        <v>8.9999999999999998E-4</v>
      </c>
      <c r="BP9">
        <v>0</v>
      </c>
      <c r="BQ9">
        <v>0</v>
      </c>
      <c r="BR9">
        <v>0.55210000000000004</v>
      </c>
      <c r="BS9">
        <v>0</v>
      </c>
      <c r="BT9">
        <v>0.24890000000000001</v>
      </c>
      <c r="BU9">
        <v>3.3999999999999998E-3</v>
      </c>
      <c r="BV9">
        <v>3.3E-3</v>
      </c>
      <c r="BW9">
        <v>3.3E-3</v>
      </c>
      <c r="BX9">
        <v>0.24329999999999999</v>
      </c>
      <c r="BY9">
        <v>0.2036</v>
      </c>
      <c r="BZ9">
        <v>9.4500000000000001E-2</v>
      </c>
      <c r="CA9">
        <v>0.17860000000000001</v>
      </c>
      <c r="CB9">
        <v>0.19850000000000001</v>
      </c>
      <c r="CC9">
        <v>6.7799999999999999E-2</v>
      </c>
      <c r="CD9">
        <v>1.3100000000000001E-2</v>
      </c>
      <c r="CE9">
        <v>5.9999999999999995E-4</v>
      </c>
    </row>
    <row r="10" spans="1:83" x14ac:dyDescent="0.2">
      <c r="A10" t="s">
        <v>114</v>
      </c>
      <c r="B10" s="2">
        <v>46022</v>
      </c>
      <c r="C10" t="s">
        <v>115</v>
      </c>
      <c r="D10" t="s">
        <v>85</v>
      </c>
      <c r="E10" t="s">
        <v>91</v>
      </c>
      <c r="F10" t="s">
        <v>116</v>
      </c>
      <c r="G10">
        <v>1.0200000000000001E-2</v>
      </c>
      <c r="H10" t="s">
        <v>93</v>
      </c>
      <c r="I10">
        <v>8.94</v>
      </c>
      <c r="J10">
        <v>0</v>
      </c>
      <c r="K10">
        <v>12.36</v>
      </c>
      <c r="L10">
        <v>3.85E-2</v>
      </c>
      <c r="M10">
        <v>3.7900000000000003E-2</v>
      </c>
      <c r="N10">
        <v>2.9</v>
      </c>
      <c r="O10">
        <v>1.01</v>
      </c>
      <c r="P10">
        <v>56.95</v>
      </c>
      <c r="Q10">
        <v>5.52</v>
      </c>
      <c r="R10">
        <v>0.46</v>
      </c>
      <c r="S10">
        <v>1.28</v>
      </c>
      <c r="T10">
        <v>0.76</v>
      </c>
      <c r="U10" t="s">
        <v>113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1</v>
      </c>
      <c r="BM10" s="3">
        <v>0</v>
      </c>
      <c r="BN10">
        <v>0.35399999999999998</v>
      </c>
      <c r="BO10">
        <v>0</v>
      </c>
      <c r="BP10">
        <v>0</v>
      </c>
      <c r="BQ10">
        <v>0</v>
      </c>
      <c r="BR10">
        <v>0.5544</v>
      </c>
      <c r="BS10">
        <v>0</v>
      </c>
      <c r="BT10">
        <v>4.5900000000000003E-2</v>
      </c>
      <c r="BU10">
        <v>4.4400000000000002E-2</v>
      </c>
      <c r="BV10">
        <v>0</v>
      </c>
      <c r="BW10">
        <v>1.2999999999999999E-3</v>
      </c>
      <c r="BX10">
        <v>0.24909999999999999</v>
      </c>
      <c r="BY10">
        <v>0.2782</v>
      </c>
      <c r="BZ10">
        <v>0.27800000000000002</v>
      </c>
      <c r="CA10">
        <v>0.16109999999999999</v>
      </c>
      <c r="CB10">
        <v>1.9300000000000001E-2</v>
      </c>
      <c r="CC10">
        <v>1.04E-2</v>
      </c>
      <c r="CD10">
        <v>0</v>
      </c>
      <c r="CE10">
        <v>3.8999999999999998E-3</v>
      </c>
    </row>
    <row r="11" spans="1:83" x14ac:dyDescent="0.2">
      <c r="A11" t="s">
        <v>117</v>
      </c>
      <c r="B11" s="2">
        <v>46022</v>
      </c>
      <c r="C11" t="s">
        <v>118</v>
      </c>
      <c r="D11" t="s">
        <v>85</v>
      </c>
      <c r="E11" t="s">
        <v>91</v>
      </c>
      <c r="F11" t="s">
        <v>119</v>
      </c>
      <c r="G11">
        <v>1.0800000000000001E-2</v>
      </c>
      <c r="H11" t="s">
        <v>93</v>
      </c>
      <c r="I11">
        <v>2.67</v>
      </c>
      <c r="J11">
        <v>0</v>
      </c>
      <c r="K11">
        <v>3.82</v>
      </c>
      <c r="L11">
        <v>5.5899999999999998E-2</v>
      </c>
      <c r="M11">
        <v>2.69E-2</v>
      </c>
      <c r="N11">
        <v>0.44</v>
      </c>
      <c r="O11">
        <v>0.45</v>
      </c>
      <c r="P11">
        <v>73</v>
      </c>
      <c r="Q11">
        <v>4.6500000000000004</v>
      </c>
      <c r="R11">
        <v>0.22</v>
      </c>
      <c r="S11">
        <v>0.53</v>
      </c>
      <c r="T11">
        <v>0.14000000000000001</v>
      </c>
      <c r="U11" t="s">
        <v>120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3">
        <v>0</v>
      </c>
      <c r="BF11" s="3">
        <v>1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>
        <v>0.37490000000000001</v>
      </c>
      <c r="BO11">
        <v>0</v>
      </c>
      <c r="BP11">
        <v>0</v>
      </c>
      <c r="BQ11">
        <v>0</v>
      </c>
      <c r="BR11">
        <v>0.53820000000000001</v>
      </c>
      <c r="BS11">
        <v>0</v>
      </c>
      <c r="BT11">
        <v>2E-3</v>
      </c>
      <c r="BU11">
        <v>4.6600000000000003E-2</v>
      </c>
      <c r="BV11">
        <v>0</v>
      </c>
      <c r="BW11">
        <v>3.8199999999999998E-2</v>
      </c>
      <c r="BX11">
        <v>8.8000000000000005E-3</v>
      </c>
      <c r="BY11">
        <v>0.1038</v>
      </c>
      <c r="BZ11">
        <v>0.2089</v>
      </c>
      <c r="CA11">
        <v>0.19</v>
      </c>
      <c r="CB11">
        <v>0.26019999999999999</v>
      </c>
      <c r="CC11">
        <v>0.1636</v>
      </c>
      <c r="CD11">
        <v>4.5100000000000001E-2</v>
      </c>
      <c r="CE11">
        <v>1.95E-2</v>
      </c>
    </row>
    <row r="12" spans="1:83" x14ac:dyDescent="0.2">
      <c r="A12">
        <v>1</v>
      </c>
      <c r="B12" s="2">
        <v>46022</v>
      </c>
      <c r="C12" t="s">
        <v>121</v>
      </c>
      <c r="D12" t="s">
        <v>85</v>
      </c>
      <c r="E12" t="s">
        <v>122</v>
      </c>
      <c r="F12" t="s">
        <v>123</v>
      </c>
      <c r="G12">
        <v>1.4999999999999999E-2</v>
      </c>
      <c r="H12" t="s">
        <v>93</v>
      </c>
      <c r="I12">
        <v>0</v>
      </c>
      <c r="J12">
        <v>0</v>
      </c>
      <c r="K12">
        <v>0</v>
      </c>
      <c r="L12">
        <v>0</v>
      </c>
      <c r="M12">
        <v>0</v>
      </c>
      <c r="N12">
        <v>-2.02</v>
      </c>
      <c r="O12">
        <v>1.04</v>
      </c>
      <c r="P12">
        <v>84.69</v>
      </c>
      <c r="Q12">
        <v>8.15</v>
      </c>
      <c r="R12">
        <v>0.36</v>
      </c>
      <c r="S12">
        <v>0.93</v>
      </c>
      <c r="T12">
        <v>1.1599999999999999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x14ac:dyDescent="0.2">
      <c r="A13">
        <v>2</v>
      </c>
      <c r="B13" s="2">
        <v>46022</v>
      </c>
      <c r="C13" t="s">
        <v>124</v>
      </c>
      <c r="D13" t="s">
        <v>85</v>
      </c>
      <c r="E13" t="s">
        <v>91</v>
      </c>
      <c r="F13" t="s">
        <v>92</v>
      </c>
      <c r="G13">
        <v>0</v>
      </c>
      <c r="H13" t="s">
        <v>93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113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x14ac:dyDescent="0.2">
      <c r="A14" t="s">
        <v>125</v>
      </c>
      <c r="B14" s="2">
        <v>46022</v>
      </c>
      <c r="C14" t="s">
        <v>126</v>
      </c>
      <c r="D14" t="s">
        <v>85</v>
      </c>
      <c r="E14" t="s">
        <v>127</v>
      </c>
      <c r="F14" t="s">
        <v>128</v>
      </c>
      <c r="G14">
        <v>1.7000000000000001E-2</v>
      </c>
      <c r="H14" t="s">
        <v>93</v>
      </c>
      <c r="I14">
        <v>0</v>
      </c>
      <c r="J14">
        <v>0</v>
      </c>
      <c r="K14">
        <v>0</v>
      </c>
      <c r="L14">
        <v>0</v>
      </c>
      <c r="M14">
        <v>3.5999999999999997E-2</v>
      </c>
      <c r="N14">
        <v>0.97</v>
      </c>
      <c r="O14">
        <v>0.97</v>
      </c>
      <c r="P14">
        <v>92.37</v>
      </c>
      <c r="Q14">
        <v>15.13</v>
      </c>
      <c r="R14">
        <v>0.61</v>
      </c>
      <c r="S14">
        <v>0.99</v>
      </c>
      <c r="T14">
        <v>0.95</v>
      </c>
      <c r="U14">
        <v>0</v>
      </c>
      <c r="V14" s="3">
        <v>3.7400000000000003E-2</v>
      </c>
      <c r="W14" s="3">
        <v>0.74529999999999996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0.21729999999999999</v>
      </c>
      <c r="AE14" s="3">
        <v>0</v>
      </c>
      <c r="AF14">
        <v>0</v>
      </c>
      <c r="AG14">
        <v>3.6999999999999998E-2</v>
      </c>
      <c r="AH14">
        <f>0.1152+0.0007</f>
        <v>0.1159</v>
      </c>
      <c r="AI14">
        <v>0.15809999999999999</v>
      </c>
      <c r="AJ14">
        <v>9.0399999999999994E-2</v>
      </c>
      <c r="AK14">
        <v>9.3600000000000003E-2</v>
      </c>
      <c r="AL14">
        <v>0.1258</v>
      </c>
      <c r="AM14">
        <v>0.21759999999999999</v>
      </c>
      <c r="AN14">
        <v>4.07E-2</v>
      </c>
      <c r="AO14">
        <v>2.9000000000000001E-2</v>
      </c>
      <c r="AP14">
        <v>7.2999999999999995E-2</v>
      </c>
      <c r="AQ14">
        <v>1.89E-2</v>
      </c>
      <c r="AR14">
        <v>0</v>
      </c>
      <c r="AS14">
        <v>0.44210000000000005</v>
      </c>
      <c r="AT14">
        <v>0.2656</v>
      </c>
      <c r="AU14">
        <v>0.29239999999999999</v>
      </c>
      <c r="AV14" s="3">
        <v>0.42</v>
      </c>
      <c r="AW14" s="3">
        <v>0.15</v>
      </c>
      <c r="AX14" s="3">
        <v>7.0000000000000007E-2</v>
      </c>
      <c r="AY14" s="3">
        <v>0.19</v>
      </c>
      <c r="AZ14" s="3">
        <v>0.09</v>
      </c>
      <c r="BA14" s="3">
        <v>0</v>
      </c>
      <c r="BB14" s="3">
        <v>0.05</v>
      </c>
      <c r="BC14" s="3">
        <v>0.03</v>
      </c>
      <c r="BD14" s="3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x14ac:dyDescent="0.2">
      <c r="A15" t="s">
        <v>129</v>
      </c>
      <c r="B15" s="2">
        <v>46022</v>
      </c>
      <c r="C15" t="s">
        <v>130</v>
      </c>
      <c r="D15" t="s">
        <v>85</v>
      </c>
      <c r="E15" t="s">
        <v>127</v>
      </c>
      <c r="F15" t="s">
        <v>131</v>
      </c>
      <c r="G15">
        <v>1.1999999999999999E-3</v>
      </c>
      <c r="H15" t="s">
        <v>93</v>
      </c>
      <c r="I15">
        <v>0</v>
      </c>
      <c r="J15">
        <v>0</v>
      </c>
      <c r="K15">
        <v>0</v>
      </c>
      <c r="L15">
        <v>0</v>
      </c>
      <c r="M15">
        <v>0.03</v>
      </c>
      <c r="N15">
        <v>0.08</v>
      </c>
      <c r="O15">
        <v>1</v>
      </c>
      <c r="P15">
        <v>99.89</v>
      </c>
      <c r="Q15">
        <v>13.15</v>
      </c>
      <c r="R15">
        <v>0.6</v>
      </c>
      <c r="S15">
        <v>1</v>
      </c>
      <c r="T15">
        <v>0.99</v>
      </c>
      <c r="U15">
        <v>0</v>
      </c>
      <c r="V15" s="3">
        <v>1.95E-2</v>
      </c>
      <c r="W15" s="3">
        <v>0.76500000000000001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f>0.2174-0.0019</f>
        <v>0.2155</v>
      </c>
      <c r="AE15" s="3">
        <v>0</v>
      </c>
      <c r="AF15">
        <v>0</v>
      </c>
      <c r="AG15">
        <v>4.1200000000000001E-2</v>
      </c>
      <c r="AH15">
        <v>5.2999999999999999E-2</v>
      </c>
      <c r="AI15">
        <v>0.192</v>
      </c>
      <c r="AJ15">
        <v>7.7799999999999994E-2</v>
      </c>
      <c r="AK15">
        <v>9.1800000000000007E-2</v>
      </c>
      <c r="AL15">
        <v>0.1396</v>
      </c>
      <c r="AM15">
        <v>0.2392</v>
      </c>
      <c r="AN15">
        <v>7.7700000000000005E-2</v>
      </c>
      <c r="AO15">
        <v>3.6400000000000002E-2</v>
      </c>
      <c r="AP15">
        <v>4.2700000000000002E-2</v>
      </c>
      <c r="AQ15">
        <v>8.6E-3</v>
      </c>
      <c r="AR15">
        <v>0</v>
      </c>
      <c r="AS15">
        <v>0.37859999999999999</v>
      </c>
      <c r="AT15">
        <v>0.3473</v>
      </c>
      <c r="AU15">
        <v>0.27410000000000001</v>
      </c>
      <c r="AV15" s="3">
        <v>0.26</v>
      </c>
      <c r="AW15" s="3">
        <v>0.44</v>
      </c>
      <c r="AX15" s="3">
        <v>0.2</v>
      </c>
      <c r="AY15" s="3">
        <v>0.03</v>
      </c>
      <c r="AZ15" s="3">
        <v>0.04</v>
      </c>
      <c r="BA15" s="3">
        <v>0.03</v>
      </c>
      <c r="BB15" s="3">
        <v>0</v>
      </c>
      <c r="BC15" s="3">
        <v>0</v>
      </c>
      <c r="BD15" s="3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 spans="1:83" x14ac:dyDescent="0.2">
      <c r="A16" t="s">
        <v>132</v>
      </c>
      <c r="B16" s="2">
        <v>46022</v>
      </c>
      <c r="C16" t="s">
        <v>133</v>
      </c>
      <c r="D16" t="s">
        <v>85</v>
      </c>
      <c r="E16" t="s">
        <v>127</v>
      </c>
      <c r="F16" t="s">
        <v>134</v>
      </c>
      <c r="G16">
        <v>3.0000000000000001E-3</v>
      </c>
      <c r="H16" t="s">
        <v>88</v>
      </c>
      <c r="I16">
        <v>0</v>
      </c>
      <c r="J16">
        <v>0</v>
      </c>
      <c r="K16">
        <v>0</v>
      </c>
      <c r="L16">
        <v>0</v>
      </c>
      <c r="M16">
        <v>7.7999999999999996E-3</v>
      </c>
      <c r="N16">
        <v>0</v>
      </c>
      <c r="O16">
        <v>0</v>
      </c>
      <c r="P16">
        <v>0</v>
      </c>
      <c r="Q16">
        <v>18.41</v>
      </c>
      <c r="R16">
        <v>0.93</v>
      </c>
      <c r="S16">
        <v>0</v>
      </c>
      <c r="T16">
        <v>0</v>
      </c>
      <c r="U16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>
        <v>0</v>
      </c>
      <c r="AG16">
        <f>0.0052-0.0001</f>
        <v>5.0999999999999995E-3</v>
      </c>
      <c r="AH16">
        <v>1.0999999999999999E-2</v>
      </c>
      <c r="AI16">
        <v>3.5299999999999998E-2</v>
      </c>
      <c r="AJ16">
        <v>0.1288</v>
      </c>
      <c r="AK16">
        <v>7.9000000000000001E-2</v>
      </c>
      <c r="AL16">
        <v>4.9500000000000002E-2</v>
      </c>
      <c r="AM16">
        <v>2.8E-3</v>
      </c>
      <c r="AN16">
        <v>0.51280000000000003</v>
      </c>
      <c r="AO16">
        <v>0.161</v>
      </c>
      <c r="AP16">
        <v>1.32E-2</v>
      </c>
      <c r="AQ16">
        <f>0.0015</f>
        <v>1.5E-3</v>
      </c>
      <c r="AR16">
        <v>0</v>
      </c>
      <c r="AS16">
        <v>0.14410000000000001</v>
      </c>
      <c r="AT16">
        <v>0.71430000000000005</v>
      </c>
      <c r="AU16">
        <v>0.14169999999999999</v>
      </c>
      <c r="AV16" s="3">
        <v>0.09</v>
      </c>
      <c r="AW16" s="3">
        <v>0.5</v>
      </c>
      <c r="AX16" s="3">
        <v>0.28000000000000003</v>
      </c>
      <c r="AY16" s="3">
        <v>0.03</v>
      </c>
      <c r="AZ16" s="3">
        <v>0.05</v>
      </c>
      <c r="BA16" s="3">
        <v>0.05</v>
      </c>
      <c r="BB16" s="3">
        <v>0</v>
      </c>
      <c r="BC16" s="3">
        <v>0</v>
      </c>
      <c r="BD16" s="3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2">
      <c r="A17" t="s">
        <v>135</v>
      </c>
      <c r="B17" s="2">
        <v>46022</v>
      </c>
      <c r="C17" t="s">
        <v>136</v>
      </c>
      <c r="D17" t="s">
        <v>85</v>
      </c>
      <c r="E17" t="s">
        <v>127</v>
      </c>
      <c r="F17" t="s">
        <v>137</v>
      </c>
      <c r="G17">
        <v>1.46E-2</v>
      </c>
      <c r="H17" t="s">
        <v>93</v>
      </c>
      <c r="I17">
        <v>0</v>
      </c>
      <c r="J17">
        <v>0</v>
      </c>
      <c r="K17">
        <v>0</v>
      </c>
      <c r="L17">
        <v>0</v>
      </c>
      <c r="M17">
        <v>3.1800000000000002E-2</v>
      </c>
      <c r="N17">
        <v>-1.04</v>
      </c>
      <c r="O17">
        <v>1.07</v>
      </c>
      <c r="P17">
        <v>93.71</v>
      </c>
      <c r="Q17">
        <v>14.32</v>
      </c>
      <c r="R17">
        <v>0.5</v>
      </c>
      <c r="S17">
        <v>0.97</v>
      </c>
      <c r="T17">
        <v>1</v>
      </c>
      <c r="U17">
        <v>0</v>
      </c>
      <c r="V17" s="3">
        <v>0.35899999999999999</v>
      </c>
      <c r="W17" s="3">
        <v>0.36699999999999999</v>
      </c>
      <c r="X17" s="3">
        <v>0</v>
      </c>
      <c r="Y17" s="3">
        <v>0</v>
      </c>
      <c r="Z17" s="3">
        <v>0</v>
      </c>
      <c r="AA17" s="3">
        <v>0.06</v>
      </c>
      <c r="AB17" s="3">
        <v>0</v>
      </c>
      <c r="AC17" s="3">
        <v>0.02</v>
      </c>
      <c r="AD17" s="3">
        <v>0.19400000000000001</v>
      </c>
      <c r="AE17" s="3">
        <v>0</v>
      </c>
      <c r="AF17">
        <v>0</v>
      </c>
      <c r="AG17">
        <v>6.7299999999999999E-2</v>
      </c>
      <c r="AH17">
        <v>6.2199999999999998E-2</v>
      </c>
      <c r="AI17">
        <v>0.18310000000000001</v>
      </c>
      <c r="AJ17">
        <v>2.6499999999999999E-2</v>
      </c>
      <c r="AK17">
        <v>6.9500000000000006E-2</v>
      </c>
      <c r="AL17">
        <v>0.17419999999999999</v>
      </c>
      <c r="AM17">
        <v>0.2631</v>
      </c>
      <c r="AN17">
        <v>9.1200000000000003E-2</v>
      </c>
      <c r="AO17">
        <v>3.5499999999999997E-2</v>
      </c>
      <c r="AP17">
        <v>2.7400000000000001E-2</v>
      </c>
      <c r="AQ17">
        <v>0</v>
      </c>
      <c r="AR17">
        <v>0</v>
      </c>
      <c r="AS17">
        <v>0.3518</v>
      </c>
      <c r="AT17">
        <v>0.37710000000000005</v>
      </c>
      <c r="AU17">
        <v>0.27110000000000001</v>
      </c>
      <c r="AV17" s="3">
        <v>0.32</v>
      </c>
      <c r="AW17" s="3">
        <v>0.14000000000000001</v>
      </c>
      <c r="AX17" s="3">
        <v>0.06</v>
      </c>
      <c r="AY17" s="3">
        <v>0.17</v>
      </c>
      <c r="AZ17" s="3">
        <v>0.21</v>
      </c>
      <c r="BA17" s="3">
        <v>0.04</v>
      </c>
      <c r="BB17" s="3">
        <v>0.02</v>
      </c>
      <c r="BC17" s="3">
        <v>0.03</v>
      </c>
      <c r="BD17" s="3">
        <v>0.01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x14ac:dyDescent="0.2">
      <c r="A18" t="s">
        <v>138</v>
      </c>
      <c r="B18" s="2">
        <v>46022</v>
      </c>
      <c r="C18" t="s">
        <v>139</v>
      </c>
      <c r="D18" t="s">
        <v>85</v>
      </c>
      <c r="E18" t="s">
        <v>127</v>
      </c>
      <c r="F18" t="s">
        <v>140</v>
      </c>
      <c r="G18">
        <v>1.7100000000000001E-2</v>
      </c>
      <c r="H18" t="s">
        <v>88</v>
      </c>
      <c r="I18">
        <v>0</v>
      </c>
      <c r="J18">
        <v>0</v>
      </c>
      <c r="K18">
        <v>0</v>
      </c>
      <c r="L18">
        <v>0</v>
      </c>
      <c r="M18">
        <v>1.0800000000000001E-2</v>
      </c>
      <c r="N18">
        <v>2.41</v>
      </c>
      <c r="O18">
        <v>0.79</v>
      </c>
      <c r="P18">
        <v>89.5</v>
      </c>
      <c r="Q18">
        <v>17.13</v>
      </c>
      <c r="R18">
        <v>0.54</v>
      </c>
      <c r="S18">
        <v>0.83</v>
      </c>
      <c r="T18">
        <v>0.72</v>
      </c>
      <c r="U18">
        <v>0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>
        <v>0</v>
      </c>
      <c r="AG18">
        <f>0.0621+0.000009</f>
        <v>6.2109000000000004E-2</v>
      </c>
      <c r="AH18">
        <v>4.8500000000000001E-2</v>
      </c>
      <c r="AI18">
        <v>0.2349</v>
      </c>
      <c r="AJ18">
        <v>0.1149</v>
      </c>
      <c r="AK18">
        <v>4.4299999999999999E-2</v>
      </c>
      <c r="AL18">
        <v>0.16769999999999999</v>
      </c>
      <c r="AM18">
        <v>0.15240000000000001</v>
      </c>
      <c r="AN18">
        <v>0.12989999999999999</v>
      </c>
      <c r="AO18">
        <v>6.9999999999999999E-4</v>
      </c>
      <c r="AP18">
        <v>2.23E-2</v>
      </c>
      <c r="AQ18">
        <f>0.0222+0.000091</f>
        <v>2.2291000000000002E-2</v>
      </c>
      <c r="AR18">
        <v>0</v>
      </c>
      <c r="AS18">
        <v>0.33799999999999997</v>
      </c>
      <c r="AT18">
        <v>0.42759999999999998</v>
      </c>
      <c r="AU18">
        <v>0.23430000000000001</v>
      </c>
      <c r="AV18" s="3">
        <v>0</v>
      </c>
      <c r="AW18" s="3">
        <v>0.01</v>
      </c>
      <c r="AX18" s="3">
        <v>0</v>
      </c>
      <c r="AY18" s="3">
        <v>0.06</v>
      </c>
      <c r="AZ18" s="3">
        <v>0.2</v>
      </c>
      <c r="BA18" s="3">
        <v>0.05</v>
      </c>
      <c r="BB18" s="3">
        <v>0.15</v>
      </c>
      <c r="BC18" s="3">
        <v>0.39</v>
      </c>
      <c r="BD18" s="3">
        <v>0.14000000000000001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x14ac:dyDescent="0.2">
      <c r="A19" t="s">
        <v>141</v>
      </c>
      <c r="B19" s="2">
        <v>46022</v>
      </c>
      <c r="C19" t="s">
        <v>142</v>
      </c>
      <c r="D19" t="s">
        <v>85</v>
      </c>
      <c r="E19" t="s">
        <v>127</v>
      </c>
      <c r="F19" t="s">
        <v>143</v>
      </c>
      <c r="G19">
        <v>1E-3</v>
      </c>
      <c r="H19" t="s">
        <v>88</v>
      </c>
      <c r="I19">
        <v>0</v>
      </c>
      <c r="J19">
        <v>0</v>
      </c>
      <c r="K19">
        <v>0</v>
      </c>
      <c r="L19">
        <v>0</v>
      </c>
      <c r="M19">
        <v>1.32E-2</v>
      </c>
      <c r="N19">
        <v>0.22</v>
      </c>
      <c r="O19">
        <v>0.98</v>
      </c>
      <c r="P19">
        <v>99.8</v>
      </c>
      <c r="Q19">
        <v>15.11</v>
      </c>
      <c r="R19">
        <v>0.81</v>
      </c>
      <c r="S19">
        <v>0.99</v>
      </c>
      <c r="T19">
        <v>0.98</v>
      </c>
      <c r="U19">
        <v>0</v>
      </c>
      <c r="V19" s="3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>
        <v>0</v>
      </c>
      <c r="AG19">
        <v>2.81E-2</v>
      </c>
      <c r="AH19">
        <v>1.6500000000000001E-2</v>
      </c>
      <c r="AI19">
        <v>7.4999999999999997E-2</v>
      </c>
      <c r="AJ19">
        <v>0.1055</v>
      </c>
      <c r="AK19">
        <v>4.7100000000000003E-2</v>
      </c>
      <c r="AL19">
        <v>9.5899999999999999E-2</v>
      </c>
      <c r="AM19">
        <v>0.1313</v>
      </c>
      <c r="AN19">
        <v>0.35089999999999999</v>
      </c>
      <c r="AO19">
        <v>0.1089</v>
      </c>
      <c r="AP19">
        <v>2.2499999999999999E-2</v>
      </c>
      <c r="AQ19">
        <v>1.83E-2</v>
      </c>
      <c r="AR19">
        <v>0</v>
      </c>
      <c r="AS19">
        <v>0.27159999999999995</v>
      </c>
      <c r="AT19">
        <v>0.56289999999999996</v>
      </c>
      <c r="AU19">
        <v>0.16550000000000001</v>
      </c>
      <c r="AV19" s="3">
        <v>0.22</v>
      </c>
      <c r="AW19" s="3">
        <v>0.39</v>
      </c>
      <c r="AX19" s="3">
        <v>0.2</v>
      </c>
      <c r="AY19" s="3">
        <v>0.06</v>
      </c>
      <c r="AZ19" s="3">
        <v>0.08</v>
      </c>
      <c r="BA19" s="3">
        <v>0.05</v>
      </c>
      <c r="BB19" s="3">
        <v>0</v>
      </c>
      <c r="BC19" s="3">
        <v>0</v>
      </c>
      <c r="BD19" s="3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x14ac:dyDescent="0.2">
      <c r="A20" t="s">
        <v>144</v>
      </c>
      <c r="B20" s="2">
        <v>46022</v>
      </c>
      <c r="C20" t="s">
        <v>145</v>
      </c>
      <c r="D20" t="s">
        <v>85</v>
      </c>
      <c r="E20" t="s">
        <v>127</v>
      </c>
      <c r="F20" t="s">
        <v>146</v>
      </c>
      <c r="G20">
        <v>1.6400000000000001E-2</v>
      </c>
      <c r="H20" t="s">
        <v>93</v>
      </c>
      <c r="I20">
        <v>0</v>
      </c>
      <c r="J20">
        <v>0</v>
      </c>
      <c r="K20">
        <v>0</v>
      </c>
      <c r="L20">
        <v>0</v>
      </c>
      <c r="M20">
        <v>2.86E-2</v>
      </c>
      <c r="N20">
        <v>0</v>
      </c>
      <c r="O20">
        <v>0</v>
      </c>
      <c r="P20">
        <v>0</v>
      </c>
      <c r="Q20">
        <v>15.15</v>
      </c>
      <c r="R20">
        <v>0.62</v>
      </c>
      <c r="S20">
        <v>0</v>
      </c>
      <c r="T20">
        <v>0</v>
      </c>
      <c r="U20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0</v>
      </c>
      <c r="AF20">
        <v>0</v>
      </c>
      <c r="AG20">
        <v>1E-4</v>
      </c>
      <c r="AH20">
        <v>6.6799999999999998E-2</v>
      </c>
      <c r="AI20">
        <v>0.25380000000000003</v>
      </c>
      <c r="AJ20">
        <v>9.6100000000000005E-2</v>
      </c>
      <c r="AK20">
        <v>9.0999999999999998E-2</v>
      </c>
      <c r="AL20">
        <v>0.22720000000000001</v>
      </c>
      <c r="AM20">
        <v>6.6100000000000006E-2</v>
      </c>
      <c r="AN20">
        <v>0.1237</v>
      </c>
      <c r="AO20">
        <v>0</v>
      </c>
      <c r="AP20">
        <v>7.5200000000000003E-2</v>
      </c>
      <c r="AQ20">
        <v>0</v>
      </c>
      <c r="AR20">
        <v>0</v>
      </c>
      <c r="AS20">
        <v>0.22899999999999998</v>
      </c>
      <c r="AT20">
        <v>0.37750000000000006</v>
      </c>
      <c r="AU20">
        <v>0.39340000000000003</v>
      </c>
      <c r="AV20" s="3">
        <v>0.38</v>
      </c>
      <c r="AW20" s="3">
        <v>0.54</v>
      </c>
      <c r="AX20" s="3">
        <v>0.08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x14ac:dyDescent="0.2">
      <c r="A21" t="s">
        <v>147</v>
      </c>
      <c r="B21" s="2">
        <v>46022</v>
      </c>
      <c r="C21" t="s">
        <v>148</v>
      </c>
      <c r="D21" t="s">
        <v>85</v>
      </c>
      <c r="E21" t="s">
        <v>127</v>
      </c>
      <c r="F21" t="s">
        <v>149</v>
      </c>
      <c r="G21">
        <v>7.1000000000000004E-3</v>
      </c>
      <c r="H21" t="s">
        <v>88</v>
      </c>
      <c r="I21">
        <v>0</v>
      </c>
      <c r="J21">
        <v>0</v>
      </c>
      <c r="K21">
        <v>0</v>
      </c>
      <c r="L21">
        <v>0</v>
      </c>
      <c r="M21">
        <v>3.3300000000000003E-2</v>
      </c>
      <c r="N21">
        <v>-1.0900000000000001</v>
      </c>
      <c r="O21">
        <v>1.02</v>
      </c>
      <c r="P21">
        <v>99.24</v>
      </c>
      <c r="Q21">
        <v>24</v>
      </c>
      <c r="R21">
        <v>0.22</v>
      </c>
      <c r="S21">
        <v>1</v>
      </c>
      <c r="T21">
        <v>1.04</v>
      </c>
      <c r="U21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>
        <v>0</v>
      </c>
      <c r="AG21">
        <v>2.7799999999999998E-2</v>
      </c>
      <c r="AH21">
        <v>5.0200000000000002E-2</v>
      </c>
      <c r="AI21">
        <v>4.4200000000000003E-2</v>
      </c>
      <c r="AJ21">
        <v>0.27579999999999999</v>
      </c>
      <c r="AK21">
        <v>3.1399999999999997E-2</v>
      </c>
      <c r="AL21">
        <v>4.9799999999999997E-2</v>
      </c>
      <c r="AM21">
        <v>0.17899999999999999</v>
      </c>
      <c r="AN21">
        <v>8.1000000000000003E-2</v>
      </c>
      <c r="AO21">
        <v>0.23050000000000001</v>
      </c>
      <c r="AP21">
        <v>1.5699999999999999E-2</v>
      </c>
      <c r="AQ21">
        <f>0.0144+0.0002</f>
        <v>1.46E-2</v>
      </c>
      <c r="AR21">
        <v>0</v>
      </c>
      <c r="AS21">
        <v>0.51939999999999997</v>
      </c>
      <c r="AT21">
        <v>0.38350000000000006</v>
      </c>
      <c r="AU21">
        <v>9.6899999999999986E-2</v>
      </c>
      <c r="AV21" s="3">
        <v>0.28999999999999998</v>
      </c>
      <c r="AW21" s="3">
        <v>0.54</v>
      </c>
      <c r="AX21" s="3">
        <v>0.14000000000000001</v>
      </c>
      <c r="AY21" s="3">
        <v>0.01</v>
      </c>
      <c r="AZ21" s="3">
        <v>0.01</v>
      </c>
      <c r="BA21" s="3">
        <v>0.01</v>
      </c>
      <c r="BB21" s="3">
        <v>0</v>
      </c>
      <c r="BC21" s="3">
        <v>0</v>
      </c>
      <c r="BD21" s="3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x14ac:dyDescent="0.2">
      <c r="A22" t="s">
        <v>150</v>
      </c>
      <c r="B22" s="2">
        <v>46022</v>
      </c>
      <c r="C22" t="s">
        <v>151</v>
      </c>
      <c r="D22" t="s">
        <v>85</v>
      </c>
      <c r="E22" t="s">
        <v>127</v>
      </c>
      <c r="F22" t="s">
        <v>152</v>
      </c>
      <c r="G22">
        <v>2.3E-3</v>
      </c>
      <c r="H22" t="s">
        <v>88</v>
      </c>
      <c r="I22">
        <v>0</v>
      </c>
      <c r="J22">
        <v>0</v>
      </c>
      <c r="K22">
        <v>0</v>
      </c>
      <c r="L22">
        <v>0</v>
      </c>
      <c r="M22">
        <v>2.3E-2</v>
      </c>
      <c r="N22">
        <v>-0.64</v>
      </c>
      <c r="O22">
        <v>1.02</v>
      </c>
      <c r="P22">
        <v>99.33</v>
      </c>
      <c r="Q22">
        <v>16.440000000000001</v>
      </c>
      <c r="R22">
        <v>0.42</v>
      </c>
      <c r="S22">
        <v>1.01</v>
      </c>
      <c r="T22">
        <v>1.05</v>
      </c>
      <c r="U22">
        <v>0</v>
      </c>
      <c r="V22" s="3">
        <v>5.4999999999999997E-3</v>
      </c>
      <c r="W22" s="3">
        <v>6.3E-3</v>
      </c>
      <c r="X22" s="3">
        <v>7.1099999999999997E-2</v>
      </c>
      <c r="Y22" s="3">
        <f>0.0202+0.0944</f>
        <v>0.11459999999999999</v>
      </c>
      <c r="Z22" s="3">
        <f>0.462-0.2705</f>
        <v>0.1915</v>
      </c>
      <c r="AA22" s="3">
        <v>0</v>
      </c>
      <c r="AB22" s="3">
        <f>0.3414-0.0009</f>
        <v>0.34049999999999997</v>
      </c>
      <c r="AC22" s="3">
        <f>0.462-tbl_DNA_1[[#This Row],[China]]</f>
        <v>0.27050000000000002</v>
      </c>
      <c r="AD22" s="3">
        <v>0</v>
      </c>
      <c r="AE22" s="3">
        <v>0</v>
      </c>
      <c r="AF22">
        <v>0</v>
      </c>
      <c r="AG22">
        <v>3.9800000000000002E-2</v>
      </c>
      <c r="AH22">
        <v>7.0499999999999993E-2</v>
      </c>
      <c r="AI22">
        <v>6.9699999999999998E-2</v>
      </c>
      <c r="AJ22">
        <v>0.1186</v>
      </c>
      <c r="AK22">
        <v>3.49E-2</v>
      </c>
      <c r="AL22">
        <v>3.32E-2</v>
      </c>
      <c r="AM22">
        <v>0.2203</v>
      </c>
      <c r="AN22">
        <v>0.28410000000000002</v>
      </c>
      <c r="AO22">
        <v>9.3799999999999994E-2</v>
      </c>
      <c r="AP22">
        <v>2.18E-2</v>
      </c>
      <c r="AQ22">
        <v>1.3299999999999999E-2</v>
      </c>
      <c r="AR22">
        <v>0</v>
      </c>
      <c r="AS22">
        <v>0.42269999999999996</v>
      </c>
      <c r="AT22">
        <v>0.4874</v>
      </c>
      <c r="AU22">
        <v>8.9899999999999994E-2</v>
      </c>
      <c r="AV22" s="3">
        <v>0.2</v>
      </c>
      <c r="AW22" s="3">
        <v>0.39</v>
      </c>
      <c r="AX22" s="3">
        <v>0.34</v>
      </c>
      <c r="AY22" s="3">
        <v>0.03</v>
      </c>
      <c r="AZ22" s="3">
        <v>0.02</v>
      </c>
      <c r="BA22" s="3">
        <v>0.02</v>
      </c>
      <c r="BB22" s="3">
        <v>0</v>
      </c>
      <c r="BC22" s="3">
        <v>0</v>
      </c>
      <c r="BD22" s="3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x14ac:dyDescent="0.2">
      <c r="A23" t="s">
        <v>153</v>
      </c>
      <c r="B23" s="2">
        <v>46022</v>
      </c>
      <c r="C23" t="s">
        <v>154</v>
      </c>
      <c r="D23" t="s">
        <v>85</v>
      </c>
      <c r="E23" t="s">
        <v>127</v>
      </c>
      <c r="F23" t="s">
        <v>155</v>
      </c>
      <c r="G23">
        <v>1.6E-2</v>
      </c>
      <c r="H23" t="s">
        <v>88</v>
      </c>
      <c r="I23">
        <v>0</v>
      </c>
      <c r="J23">
        <v>0</v>
      </c>
      <c r="K23">
        <v>0</v>
      </c>
      <c r="L23">
        <v>0</v>
      </c>
      <c r="M23">
        <v>1.2E-2</v>
      </c>
      <c r="N23">
        <v>0</v>
      </c>
      <c r="O23">
        <v>0</v>
      </c>
      <c r="P23">
        <v>0</v>
      </c>
      <c r="Q23">
        <v>14.67</v>
      </c>
      <c r="R23">
        <v>0.57999999999999996</v>
      </c>
      <c r="S23">
        <v>0</v>
      </c>
      <c r="T23">
        <v>0</v>
      </c>
      <c r="U23">
        <v>0</v>
      </c>
      <c r="V23" s="3">
        <v>0.59040000000000004</v>
      </c>
      <c r="W23" s="3">
        <v>0.20480000000000001</v>
      </c>
      <c r="X23" s="3">
        <v>0</v>
      </c>
      <c r="Y23" s="3">
        <v>3.4200000000000001E-2</v>
      </c>
      <c r="Z23" s="3">
        <v>0</v>
      </c>
      <c r="AA23" s="3">
        <v>4.1300000000000003E-2</v>
      </c>
      <c r="AB23" s="3">
        <v>7.0800000000000002E-2</v>
      </c>
      <c r="AC23" s="3">
        <v>0</v>
      </c>
      <c r="AD23" s="3">
        <v>5.8500000000000003E-2</v>
      </c>
      <c r="AE23" s="3">
        <v>0</v>
      </c>
      <c r="AF23">
        <v>0</v>
      </c>
      <c r="AG23">
        <f>0.0141-0.0001</f>
        <v>1.4E-2</v>
      </c>
      <c r="AH23">
        <v>3.5400000000000001E-2</v>
      </c>
      <c r="AI23">
        <v>0.13250000000000001</v>
      </c>
      <c r="AJ23">
        <v>0.1295</v>
      </c>
      <c r="AK23">
        <v>4.2999999999999997E-2</v>
      </c>
      <c r="AL23">
        <v>0.13070000000000001</v>
      </c>
      <c r="AM23">
        <v>0.13320000000000001</v>
      </c>
      <c r="AN23">
        <v>0.2586</v>
      </c>
      <c r="AO23">
        <v>0.10970000000000001</v>
      </c>
      <c r="AP23">
        <v>8.6999999999999994E-3</v>
      </c>
      <c r="AQ23">
        <v>4.7000000000000002E-3</v>
      </c>
      <c r="AR23">
        <v>0</v>
      </c>
      <c r="AS23">
        <v>0.30280000000000001</v>
      </c>
      <c r="AT23">
        <v>0.51490000000000002</v>
      </c>
      <c r="AU23">
        <v>0.18240000000000001</v>
      </c>
      <c r="AV23" s="3">
        <v>0.12</v>
      </c>
      <c r="AW23" s="3">
        <v>0.41</v>
      </c>
      <c r="AX23" s="3">
        <v>0.33</v>
      </c>
      <c r="AY23" s="3">
        <v>0.02</v>
      </c>
      <c r="AZ23" s="3">
        <v>0.05</v>
      </c>
      <c r="BA23" s="3">
        <v>7.0000000000000007E-2</v>
      </c>
      <c r="BB23" s="3">
        <v>0</v>
      </c>
      <c r="BC23" s="3">
        <v>0</v>
      </c>
      <c r="BD23" s="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x14ac:dyDescent="0.2">
      <c r="A24" t="s">
        <v>156</v>
      </c>
      <c r="B24" s="2">
        <v>46022</v>
      </c>
      <c r="C24" t="s">
        <v>157</v>
      </c>
      <c r="D24" t="s">
        <v>85</v>
      </c>
      <c r="E24" t="s">
        <v>127</v>
      </c>
      <c r="F24" t="s">
        <v>158</v>
      </c>
      <c r="G24">
        <v>1.9699999999999999E-2</v>
      </c>
      <c r="H24" t="s">
        <v>93</v>
      </c>
      <c r="I24">
        <v>0</v>
      </c>
      <c r="J24">
        <v>0</v>
      </c>
      <c r="K24">
        <v>0</v>
      </c>
      <c r="L24">
        <v>0</v>
      </c>
      <c r="M24">
        <v>1.41E-2</v>
      </c>
      <c r="N24">
        <v>5.29</v>
      </c>
      <c r="O24">
        <v>1.04</v>
      </c>
      <c r="P24">
        <v>91.76</v>
      </c>
      <c r="Q24">
        <v>14.93</v>
      </c>
      <c r="R24">
        <v>1.1599999999999999</v>
      </c>
      <c r="S24">
        <v>1.17</v>
      </c>
      <c r="T24">
        <v>0.91</v>
      </c>
      <c r="U24">
        <v>0</v>
      </c>
      <c r="V24" s="3">
        <v>0.66449999999999998</v>
      </c>
      <c r="W24" s="3">
        <v>0.10249999999999999</v>
      </c>
      <c r="X24" s="3">
        <v>0</v>
      </c>
      <c r="Y24" s="3">
        <v>0</v>
      </c>
      <c r="Z24" s="3">
        <v>0</v>
      </c>
      <c r="AA24" s="3">
        <v>0.128</v>
      </c>
      <c r="AB24" s="3">
        <v>5.1499999999999997E-2</v>
      </c>
      <c r="AC24" s="3">
        <v>3.5999999999999999E-3</v>
      </c>
      <c r="AD24" s="3">
        <f>0.05-0.0001</f>
        <v>4.99E-2</v>
      </c>
      <c r="AE24" s="3">
        <v>0</v>
      </c>
      <c r="AF24">
        <v>0</v>
      </c>
      <c r="AG24">
        <v>4.0899999999999999E-2</v>
      </c>
      <c r="AH24">
        <v>7.4800000000000005E-2</v>
      </c>
      <c r="AI24">
        <v>0.26829999999999998</v>
      </c>
      <c r="AJ24">
        <v>0.1157</v>
      </c>
      <c r="AK24">
        <v>5.28E-2</v>
      </c>
      <c r="AL24">
        <v>0.1061</v>
      </c>
      <c r="AM24">
        <v>0.15240000000000001</v>
      </c>
      <c r="AN24">
        <v>0.11849999999999999</v>
      </c>
      <c r="AO24">
        <v>2.86E-2</v>
      </c>
      <c r="AP24">
        <v>9.5999999999999992E-3</v>
      </c>
      <c r="AQ24">
        <v>3.2300000000000002E-2</v>
      </c>
      <c r="AR24">
        <v>0</v>
      </c>
      <c r="AS24">
        <v>0.37519999999999998</v>
      </c>
      <c r="AT24">
        <v>0.45629999999999998</v>
      </c>
      <c r="AU24">
        <v>0.16849999999999998</v>
      </c>
      <c r="AV24" s="3">
        <v>0</v>
      </c>
      <c r="AW24" s="3">
        <v>0</v>
      </c>
      <c r="AX24" s="3">
        <v>0.02</v>
      </c>
      <c r="AY24" s="3">
        <v>0.03</v>
      </c>
      <c r="AZ24" s="3">
        <v>0.17</v>
      </c>
      <c r="BA24" s="3">
        <v>0.17</v>
      </c>
      <c r="BB24" s="3">
        <v>0.1</v>
      </c>
      <c r="BC24" s="3">
        <v>0.27</v>
      </c>
      <c r="BD24" s="3">
        <v>0.24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x14ac:dyDescent="0.2">
      <c r="A25" t="s">
        <v>159</v>
      </c>
      <c r="B25" s="2">
        <v>46022</v>
      </c>
      <c r="C25" t="s">
        <v>160</v>
      </c>
      <c r="D25" t="s">
        <v>85</v>
      </c>
      <c r="E25" t="s">
        <v>127</v>
      </c>
      <c r="F25" t="s">
        <v>158</v>
      </c>
      <c r="G25">
        <v>1.9599999999999999E-2</v>
      </c>
      <c r="H25" t="s">
        <v>88</v>
      </c>
      <c r="I25">
        <v>0</v>
      </c>
      <c r="J25">
        <v>0</v>
      </c>
      <c r="K25">
        <v>0</v>
      </c>
      <c r="L25">
        <v>0</v>
      </c>
      <c r="M25">
        <v>1.41E-2</v>
      </c>
      <c r="N25">
        <v>5.1100000000000003</v>
      </c>
      <c r="O25">
        <v>1.03</v>
      </c>
      <c r="P25">
        <v>91.41</v>
      </c>
      <c r="Q25">
        <v>14.93</v>
      </c>
      <c r="R25">
        <v>1.1599999999999999</v>
      </c>
      <c r="S25">
        <v>1.1299999999999999</v>
      </c>
      <c r="T25">
        <v>0.9</v>
      </c>
      <c r="U25">
        <v>0</v>
      </c>
      <c r="V25" s="3">
        <v>0.66449999999999998</v>
      </c>
      <c r="W25" s="3">
        <v>0.10249999999999999</v>
      </c>
      <c r="X25" s="3">
        <v>0</v>
      </c>
      <c r="Y25" s="3">
        <v>0</v>
      </c>
      <c r="Z25" s="3">
        <v>0</v>
      </c>
      <c r="AA25" s="3">
        <v>0.128</v>
      </c>
      <c r="AB25" s="3">
        <v>5.1499999999999997E-2</v>
      </c>
      <c r="AC25" s="3">
        <f>0.0036-0.0001</f>
        <v>3.5000000000000001E-3</v>
      </c>
      <c r="AD25" s="3">
        <v>0.05</v>
      </c>
      <c r="AE25" s="3">
        <v>0</v>
      </c>
      <c r="AF25">
        <v>0</v>
      </c>
      <c r="AG25">
        <v>4.0899999999999999E-2</v>
      </c>
      <c r="AH25">
        <v>7.4800000000000005E-2</v>
      </c>
      <c r="AI25">
        <v>0.26829999999999998</v>
      </c>
      <c r="AJ25">
        <v>0.1157</v>
      </c>
      <c r="AK25">
        <v>5.28E-2</v>
      </c>
      <c r="AL25">
        <v>0.1061</v>
      </c>
      <c r="AM25">
        <v>0.15240000000000001</v>
      </c>
      <c r="AN25">
        <v>0.11849999999999999</v>
      </c>
      <c r="AO25">
        <v>2.86E-2</v>
      </c>
      <c r="AP25">
        <v>9.5999999999999992E-3</v>
      </c>
      <c r="AQ25">
        <v>3.2300000000000002E-2</v>
      </c>
      <c r="AR25">
        <v>0</v>
      </c>
      <c r="AS25">
        <v>0.37519999999999998</v>
      </c>
      <c r="AT25">
        <v>0.45629999999999998</v>
      </c>
      <c r="AU25">
        <v>0.16849999999999998</v>
      </c>
      <c r="AV25" s="3">
        <v>0</v>
      </c>
      <c r="AW25" s="3">
        <v>0</v>
      </c>
      <c r="AX25" s="3">
        <v>0.02</v>
      </c>
      <c r="AY25" s="3">
        <v>0.03</v>
      </c>
      <c r="AZ25" s="3">
        <v>0.17</v>
      </c>
      <c r="BA25" s="3">
        <v>0.17</v>
      </c>
      <c r="BB25" s="3">
        <v>0.1</v>
      </c>
      <c r="BC25" s="3">
        <v>0.27</v>
      </c>
      <c r="BD25" s="3">
        <v>0.24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x14ac:dyDescent="0.2">
      <c r="A26" t="s">
        <v>161</v>
      </c>
      <c r="B26" s="2">
        <v>46022</v>
      </c>
      <c r="C26" t="s">
        <v>162</v>
      </c>
      <c r="D26" t="s">
        <v>85</v>
      </c>
      <c r="E26" t="s">
        <v>127</v>
      </c>
      <c r="F26" t="s">
        <v>163</v>
      </c>
      <c r="G26">
        <v>1.7100000000000001E-2</v>
      </c>
      <c r="H26" t="s">
        <v>88</v>
      </c>
      <c r="I26">
        <v>0</v>
      </c>
      <c r="J26">
        <v>0</v>
      </c>
      <c r="K26">
        <v>0</v>
      </c>
      <c r="L26">
        <v>0</v>
      </c>
      <c r="M26">
        <v>1.6899999999999998E-2</v>
      </c>
      <c r="N26">
        <v>-2.58</v>
      </c>
      <c r="O26">
        <v>1.08</v>
      </c>
      <c r="P26">
        <v>93.92</v>
      </c>
      <c r="Q26">
        <v>16.420000000000002</v>
      </c>
      <c r="R26">
        <v>0.49</v>
      </c>
      <c r="S26">
        <v>0.96</v>
      </c>
      <c r="T26">
        <v>1.07</v>
      </c>
      <c r="U26">
        <v>0</v>
      </c>
      <c r="V26" s="3">
        <f>0.9081</f>
        <v>0.90810000000000002</v>
      </c>
      <c r="W26" s="3">
        <v>3.9199999999999999E-2</v>
      </c>
      <c r="X26" s="3">
        <v>1.5299999999999999E-2</v>
      </c>
      <c r="Y26" s="3">
        <v>2.2200000000000001E-2</v>
      </c>
      <c r="Z26" s="3">
        <v>0</v>
      </c>
      <c r="AA26" s="3">
        <v>0</v>
      </c>
      <c r="AB26" s="3">
        <v>0</v>
      </c>
      <c r="AC26" s="3">
        <v>0</v>
      </c>
      <c r="AD26" s="3">
        <f>0.0151+0.0001</f>
        <v>1.52E-2</v>
      </c>
      <c r="AE26" s="3">
        <v>0</v>
      </c>
      <c r="AF26">
        <v>0</v>
      </c>
      <c r="AG26">
        <v>4.1000000000000002E-2</v>
      </c>
      <c r="AH26">
        <v>1.5599999999999999E-2</v>
      </c>
      <c r="AI26">
        <v>0.1071</v>
      </c>
      <c r="AJ26">
        <v>4.7699999999999999E-2</v>
      </c>
      <c r="AK26">
        <v>2.1299999999999999E-2</v>
      </c>
      <c r="AL26">
        <v>0.1736</v>
      </c>
      <c r="AM26">
        <v>0.26200000000000001</v>
      </c>
      <c r="AN26">
        <v>0.26889999999999997</v>
      </c>
      <c r="AO26">
        <v>6.08E-2</v>
      </c>
      <c r="AP26">
        <v>0</v>
      </c>
      <c r="AQ26">
        <v>2E-3</v>
      </c>
      <c r="AR26">
        <v>0</v>
      </c>
      <c r="AS26">
        <v>0.32730000000000004</v>
      </c>
      <c r="AT26">
        <v>0.4778</v>
      </c>
      <c r="AU26">
        <v>0.19490000000000002</v>
      </c>
      <c r="AV26" s="3">
        <v>0.32</v>
      </c>
      <c r="AW26" s="3">
        <v>0.19</v>
      </c>
      <c r="AX26" s="3">
        <v>0.02</v>
      </c>
      <c r="AY26" s="3">
        <v>0.14000000000000001</v>
      </c>
      <c r="AZ26" s="3">
        <v>0.17</v>
      </c>
      <c r="BA26" s="3">
        <v>0.02</v>
      </c>
      <c r="BB26" s="3">
        <v>7.0000000000000007E-2</v>
      </c>
      <c r="BC26" s="3">
        <v>0.05</v>
      </c>
      <c r="BD26" s="3">
        <v>0.02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x14ac:dyDescent="0.2">
      <c r="A27" t="s">
        <v>164</v>
      </c>
      <c r="B27" s="2">
        <v>46022</v>
      </c>
      <c r="C27" t="s">
        <v>165</v>
      </c>
      <c r="D27" t="s">
        <v>85</v>
      </c>
      <c r="E27" t="s">
        <v>127</v>
      </c>
      <c r="F27" t="s">
        <v>166</v>
      </c>
      <c r="G27">
        <v>1.89E-2</v>
      </c>
      <c r="H27" t="s">
        <v>93</v>
      </c>
      <c r="I27">
        <v>0</v>
      </c>
      <c r="J27">
        <v>0</v>
      </c>
      <c r="K27">
        <v>0</v>
      </c>
      <c r="L27">
        <v>0</v>
      </c>
      <c r="M27">
        <v>1.3299999999999999E-2</v>
      </c>
      <c r="N27">
        <v>1.79</v>
      </c>
      <c r="O27">
        <v>0.84</v>
      </c>
      <c r="P27">
        <v>85.67</v>
      </c>
      <c r="Q27">
        <v>16.760000000000002</v>
      </c>
      <c r="R27">
        <v>0.97</v>
      </c>
      <c r="S27">
        <v>0.86</v>
      </c>
      <c r="T27">
        <v>0.76</v>
      </c>
      <c r="U27">
        <v>0</v>
      </c>
      <c r="V27" s="3">
        <v>0.59499999999999997</v>
      </c>
      <c r="W27" s="3">
        <v>0.14560000000000001</v>
      </c>
      <c r="X27" s="3">
        <v>0</v>
      </c>
      <c r="Y27" s="3">
        <v>6.3E-3</v>
      </c>
      <c r="Z27" s="3">
        <v>0</v>
      </c>
      <c r="AA27" s="3">
        <v>2.98E-2</v>
      </c>
      <c r="AB27" s="3">
        <v>0.13220000000000001</v>
      </c>
      <c r="AC27" s="3">
        <v>7.2099999999999997E-2</v>
      </c>
      <c r="AD27" s="3">
        <f>0.0189+0.0001</f>
        <v>1.9E-2</v>
      </c>
      <c r="AE27" s="3">
        <v>0</v>
      </c>
      <c r="AF27">
        <v>0</v>
      </c>
      <c r="AG27">
        <v>1.3599999999999999E-2</v>
      </c>
      <c r="AH27">
        <v>0</v>
      </c>
      <c r="AI27">
        <v>3.7699999999999997E-2</v>
      </c>
      <c r="AJ27">
        <v>7.9899999999999999E-2</v>
      </c>
      <c r="AK27">
        <v>5.9999999999999995E-4</v>
      </c>
      <c r="AL27">
        <v>9.0000000000000002E-6</v>
      </c>
      <c r="AM27">
        <v>9.1999999999999998E-3</v>
      </c>
      <c r="AN27">
        <v>0.71689999999999998</v>
      </c>
      <c r="AO27">
        <v>0.1164</v>
      </c>
      <c r="AP27">
        <f>0.00009+0.000001</f>
        <v>9.1000000000000003E-5</v>
      </c>
      <c r="AQ27">
        <v>2.5600000000000001E-2</v>
      </c>
      <c r="AR27">
        <v>0</v>
      </c>
      <c r="AS27">
        <v>0.1147</v>
      </c>
      <c r="AT27">
        <v>0.88460000000000005</v>
      </c>
      <c r="AU27">
        <v>5.9999999999999995E-4</v>
      </c>
      <c r="AV27" s="3">
        <v>0.1</v>
      </c>
      <c r="AW27" s="3">
        <v>0.39</v>
      </c>
      <c r="AX27" s="3">
        <v>0.18</v>
      </c>
      <c r="AY27" s="3">
        <v>0.04</v>
      </c>
      <c r="AZ27" s="3">
        <v>7.0000000000000007E-2</v>
      </c>
      <c r="BA27" s="3">
        <v>0.13</v>
      </c>
      <c r="BB27" s="3">
        <v>0.03</v>
      </c>
      <c r="BC27" s="3">
        <v>0.03</v>
      </c>
      <c r="BD27" s="3">
        <v>0.03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2">
      <c r="A28" t="s">
        <v>167</v>
      </c>
      <c r="B28" s="2">
        <v>46022</v>
      </c>
      <c r="C28" t="s">
        <v>168</v>
      </c>
      <c r="D28" t="s">
        <v>85</v>
      </c>
      <c r="E28" t="s">
        <v>169</v>
      </c>
      <c r="F28" t="s">
        <v>170</v>
      </c>
      <c r="G28">
        <v>1.1999999999999999E-3</v>
      </c>
      <c r="H28" t="s">
        <v>88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13.91</v>
      </c>
      <c r="R28">
        <v>0.91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2">
      <c r="A29" t="s">
        <v>171</v>
      </c>
      <c r="B29" s="2">
        <v>46022</v>
      </c>
      <c r="C29" t="s">
        <v>172</v>
      </c>
      <c r="D29" t="s">
        <v>85</v>
      </c>
      <c r="E29" t="s">
        <v>91</v>
      </c>
      <c r="F29" t="s">
        <v>173</v>
      </c>
      <c r="G29">
        <v>1.3100000000000001E-2</v>
      </c>
      <c r="H29" t="s">
        <v>88</v>
      </c>
      <c r="I29">
        <v>5.18</v>
      </c>
      <c r="J29">
        <v>0</v>
      </c>
      <c r="K29">
        <v>5.35</v>
      </c>
      <c r="L29">
        <v>5.3699999999999998E-2</v>
      </c>
      <c r="M29">
        <v>0.06</v>
      </c>
      <c r="N29">
        <v>1.23</v>
      </c>
      <c r="O29">
        <v>0.99</v>
      </c>
      <c r="P29">
        <v>58</v>
      </c>
      <c r="Q29">
        <v>6.46</v>
      </c>
      <c r="R29">
        <v>0.16</v>
      </c>
      <c r="S29">
        <v>1.1399999999999999</v>
      </c>
      <c r="T29">
        <v>0.98</v>
      </c>
      <c r="U29" t="s">
        <v>97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3">
        <v>0</v>
      </c>
      <c r="BF29" s="3">
        <v>0</v>
      </c>
      <c r="BG29" s="3">
        <v>0</v>
      </c>
      <c r="BH29" s="3">
        <v>0</v>
      </c>
      <c r="BI29" s="3">
        <v>1</v>
      </c>
      <c r="BJ29" s="3">
        <v>0</v>
      </c>
      <c r="BK29" s="3">
        <v>0</v>
      </c>
      <c r="BL29" s="3">
        <v>0</v>
      </c>
      <c r="BM29" s="3">
        <v>0</v>
      </c>
      <c r="BN29">
        <v>0.49</v>
      </c>
      <c r="BO29">
        <v>0.16</v>
      </c>
      <c r="BP29">
        <v>0</v>
      </c>
      <c r="BQ29">
        <v>0.15</v>
      </c>
      <c r="BR29">
        <v>0.15</v>
      </c>
      <c r="BS29">
        <v>0</v>
      </c>
      <c r="BT29">
        <v>0</v>
      </c>
      <c r="BU29">
        <v>0</v>
      </c>
      <c r="BV29">
        <v>0.05</v>
      </c>
      <c r="BW29">
        <v>0</v>
      </c>
      <c r="BX29">
        <v>0.24329999999999999</v>
      </c>
      <c r="BY29">
        <v>0.2036</v>
      </c>
      <c r="BZ29">
        <v>9.4500000000000001E-2</v>
      </c>
      <c r="CA29">
        <v>0.17860000000000001</v>
      </c>
      <c r="CB29">
        <v>0.19850000000000001</v>
      </c>
      <c r="CC29">
        <v>6.7799999999999999E-2</v>
      </c>
      <c r="CD29">
        <v>1.3100000000000001E-2</v>
      </c>
      <c r="CE29">
        <v>5.9999999999999995E-4</v>
      </c>
    </row>
    <row r="30" spans="1:83" x14ac:dyDescent="0.2">
      <c r="A30">
        <v>3</v>
      </c>
      <c r="B30" s="2">
        <v>46022</v>
      </c>
      <c r="C30" t="s">
        <v>174</v>
      </c>
      <c r="D30" t="s">
        <v>85</v>
      </c>
      <c r="E30" t="s">
        <v>175</v>
      </c>
      <c r="F30">
        <v>0</v>
      </c>
      <c r="G30">
        <v>0</v>
      </c>
      <c r="H30" t="s">
        <v>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x14ac:dyDescent="0.2">
      <c r="A31">
        <v>4</v>
      </c>
      <c r="B31" s="2">
        <v>46022</v>
      </c>
      <c r="C31" t="s">
        <v>176</v>
      </c>
      <c r="D31" t="s">
        <v>85</v>
      </c>
      <c r="E31" t="s">
        <v>175</v>
      </c>
      <c r="F31">
        <v>0</v>
      </c>
      <c r="G31">
        <v>0</v>
      </c>
      <c r="H31" t="s">
        <v>88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x14ac:dyDescent="0.2">
      <c r="A32" t="s">
        <v>177</v>
      </c>
      <c r="B32" s="2">
        <v>46022</v>
      </c>
      <c r="C32" t="s">
        <v>178</v>
      </c>
      <c r="D32" t="s">
        <v>85</v>
      </c>
      <c r="E32" t="s">
        <v>91</v>
      </c>
      <c r="F32" t="s">
        <v>179</v>
      </c>
      <c r="G32">
        <v>1.0699999999999999E-2</v>
      </c>
      <c r="H32" t="s">
        <v>88</v>
      </c>
      <c r="I32">
        <v>5.89</v>
      </c>
      <c r="J32">
        <v>5.2</v>
      </c>
      <c r="K32">
        <v>0</v>
      </c>
      <c r="L32">
        <v>5.0900000000000001E-2</v>
      </c>
      <c r="M32">
        <v>3.2599999999999997E-2</v>
      </c>
      <c r="N32">
        <v>-0.03</v>
      </c>
      <c r="O32">
        <v>0.95</v>
      </c>
      <c r="P32">
        <v>98.71</v>
      </c>
      <c r="Q32">
        <v>6.4</v>
      </c>
      <c r="R32">
        <v>-0.43</v>
      </c>
      <c r="S32">
        <v>0.93</v>
      </c>
      <c r="T32">
        <v>0.92</v>
      </c>
      <c r="U32" t="s">
        <v>97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3">
        <v>0</v>
      </c>
      <c r="BF32" s="3">
        <v>0</v>
      </c>
      <c r="BG32" s="3">
        <v>0</v>
      </c>
      <c r="BH32" s="3">
        <v>0</v>
      </c>
      <c r="BI32" s="3">
        <v>1</v>
      </c>
      <c r="BJ32" s="3">
        <v>0</v>
      </c>
      <c r="BK32" s="3">
        <v>0</v>
      </c>
      <c r="BL32" s="3">
        <v>0</v>
      </c>
      <c r="BM32" s="3">
        <v>0</v>
      </c>
      <c r="BN32">
        <v>0.31509999999999999</v>
      </c>
      <c r="BO32">
        <v>0</v>
      </c>
      <c r="BP32">
        <v>0</v>
      </c>
      <c r="BQ32">
        <v>0</v>
      </c>
      <c r="BR32">
        <v>0.62190000000000001</v>
      </c>
      <c r="BS32">
        <v>0</v>
      </c>
      <c r="BT32">
        <v>4.1099999999999998E-2</v>
      </c>
      <c r="BU32">
        <v>1.8100000000000002E-2</v>
      </c>
      <c r="BV32">
        <v>0</v>
      </c>
      <c r="BW32">
        <v>3.8E-3</v>
      </c>
      <c r="BX32">
        <v>0.15920000000000001</v>
      </c>
      <c r="BY32">
        <v>0.20710000000000001</v>
      </c>
      <c r="BZ32">
        <v>0.21729999999999999</v>
      </c>
      <c r="CA32">
        <v>0.33439999999999998</v>
      </c>
      <c r="CB32">
        <v>8.1500000000000003E-2</v>
      </c>
      <c r="CC32">
        <v>0</v>
      </c>
      <c r="CD32">
        <v>0</v>
      </c>
      <c r="CE32">
        <v>5.0000000000000001E-4</v>
      </c>
    </row>
    <row r="33" spans="1:83" x14ac:dyDescent="0.2">
      <c r="A33" t="s">
        <v>180</v>
      </c>
      <c r="B33" s="2">
        <v>46022</v>
      </c>
      <c r="C33" t="s">
        <v>181</v>
      </c>
      <c r="D33" t="s">
        <v>85</v>
      </c>
      <c r="E33" t="s">
        <v>127</v>
      </c>
      <c r="F33" t="s">
        <v>182</v>
      </c>
      <c r="G33">
        <v>1.8100000000000002E-2</v>
      </c>
      <c r="H33" t="s">
        <v>93</v>
      </c>
      <c r="I33">
        <v>0</v>
      </c>
      <c r="J33">
        <v>0</v>
      </c>
      <c r="K33">
        <v>0</v>
      </c>
      <c r="L33">
        <v>0</v>
      </c>
      <c r="M33">
        <v>3.4299999999999997E-2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0</v>
      </c>
      <c r="AF33">
        <v>0</v>
      </c>
      <c r="AG33">
        <v>8.2400000000000001E-2</v>
      </c>
      <c r="AH33">
        <v>7.4800000000000005E-2</v>
      </c>
      <c r="AI33">
        <v>0.1062</v>
      </c>
      <c r="AJ33">
        <v>0.1147</v>
      </c>
      <c r="AK33">
        <v>0.12740000000000001</v>
      </c>
      <c r="AL33">
        <v>0.1308</v>
      </c>
      <c r="AM33">
        <v>0.2417</v>
      </c>
      <c r="AN33">
        <v>0</v>
      </c>
      <c r="AO33">
        <v>2E-3</v>
      </c>
      <c r="AP33">
        <v>0.12</v>
      </c>
      <c r="AQ33">
        <v>0</v>
      </c>
      <c r="AR33">
        <v>0</v>
      </c>
      <c r="AS33">
        <v>0.43120000000000003</v>
      </c>
      <c r="AT33">
        <v>0.18859999999999999</v>
      </c>
      <c r="AU33">
        <v>0.37819999999999998</v>
      </c>
      <c r="AV33" s="3">
        <v>0.26</v>
      </c>
      <c r="AW33" s="3">
        <v>0.38</v>
      </c>
      <c r="AX33" s="3">
        <v>0.06</v>
      </c>
      <c r="AY33" s="3">
        <v>0.12</v>
      </c>
      <c r="AZ33" s="3">
        <v>7.0000000000000007E-2</v>
      </c>
      <c r="BA33" s="3">
        <v>0.03</v>
      </c>
      <c r="BB33" s="3">
        <v>0.06</v>
      </c>
      <c r="BC33" s="3">
        <v>0.01</v>
      </c>
      <c r="BD33" s="3">
        <v>0.01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2">
      <c r="A34" t="s">
        <v>183</v>
      </c>
      <c r="B34" s="2">
        <v>46022</v>
      </c>
      <c r="C34" t="s">
        <v>184</v>
      </c>
      <c r="D34" t="s">
        <v>85</v>
      </c>
      <c r="E34" t="s">
        <v>169</v>
      </c>
      <c r="F34" t="s">
        <v>170</v>
      </c>
      <c r="G34">
        <v>2E-3</v>
      </c>
      <c r="H34" t="s">
        <v>88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13.91</v>
      </c>
      <c r="R34">
        <v>0.91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47" spans="1:83" x14ac:dyDescent="0.2">
      <c r="AL47" s="4"/>
    </row>
    <row r="53" spans="37:37" x14ac:dyDescent="0.2">
      <c r="AK53" s="5"/>
    </row>
    <row r="55" spans="37:37" x14ac:dyDescent="0.2">
      <c r="AK55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7A265-25E4-A34A-B18F-1E727D171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Saldanha</dc:creator>
  <cp:lastModifiedBy>Luke Saldanha</cp:lastModifiedBy>
  <dcterms:created xsi:type="dcterms:W3CDTF">2026-02-14T23:28:57Z</dcterms:created>
  <dcterms:modified xsi:type="dcterms:W3CDTF">2026-02-14T23:29:28Z</dcterms:modified>
</cp:coreProperties>
</file>